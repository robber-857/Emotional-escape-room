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c16910706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总表" sheetId="1" r:id="R1a3937761dcd4b23"/>
    <x:sheet xmlns:r="http://schemas.openxmlformats.org/officeDocument/2006/relationships" name="V6.2逐项核对" sheetId="2" r:id="Re04ddd4350a14996"/>
    <x:sheet xmlns:r="http://schemas.openxmlformats.org/officeDocument/2006/relationships" name="缺口与边界" sheetId="3" r:id="R4074b8c785a941b4"/>
    <x:sheet xmlns:r="http://schemas.openxmlformats.org/officeDocument/2006/relationships" name="关卡权重" sheetId="4" r:id="Rc2313b7445a1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6"/>
      <x:color rgb="FF183A48"/>
      <x:name val="Arial"/>
    </x:font>
    <x:font>
      <x:sz val="10"/>
      <x:color rgb="FF526574"/>
      <x:name val="Arial"/>
    </x:font>
    <x:font>
      <x:sz val="11"/>
      <x:color rgb="FF24374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A48"/>
      </x:patternFill>
    </x:fill>
    <x:fill>
      <x:patternFill patternType="solid">
        <x:fgColor rgb="FFF2F5F7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e9cb125a84ea4" /><Relationship Type="http://schemas.openxmlformats.org/officeDocument/2006/relationships/theme" Target="/xl/theme/theme1.xml" Id="R33816e3b686c4d2a" /><Relationship Type="http://schemas.openxmlformats.org/officeDocument/2006/relationships/sharedStrings" Target="/xl/sharedStrings.xml" Id="Rd161ee8ae8ba4680" /><Relationship Type="http://schemas.openxmlformats.org/officeDocument/2006/relationships/worksheet" Target="/xl/worksheets/sheet1.xml" Id="R1a3937761dcd4b23" /><Relationship Type="http://schemas.openxmlformats.org/officeDocument/2006/relationships/worksheet" Target="/xl/worksheets/sheet2.xml" Id="Re04ddd4350a14996" /><Relationship Type="http://schemas.openxmlformats.org/officeDocument/2006/relationships/worksheet" Target="/xl/worksheets/sheet3.xml" Id="R4074b8c785a941b4" /><Relationship Type="http://schemas.openxmlformats.org/officeDocument/2006/relationships/worksheet" Target="/xl/worksheets/sheet4.xml" Id="Rc2313b7445a1498b" /></Relationships>
</file>

<file path=xl/tables/table1.xml><?xml version="1.0" encoding="utf-8"?>
<x:table xmlns:x="http://schemas.openxmlformats.org/spreadsheetml/2006/main" id="1" name="Table0" displayName="Table0" ref="A6:N104" headerRowCount="1" totalsRowCount="0" totalsRowShown="0">
  <x:tableColumns count="14">
    <x:tableColumn id="1" name="事件ID"/>
    <x:tableColumn id="2" name="关卡"/>
    <x:tableColumn id="3" name="动作 / 结果"/>
    <x:tableColumn id="4" name="记录范围"/>
    <x:tableColumn id="5" name="请求参数"/>
    <x:tableColumn id="6" name="服务器事实"/>
    <x:tableColumn id="7" name="V6.2原表行"/>
    <x:tableColumn id="8" name="计分边界"/>
    <x:tableColumn id="9" name="证据限制 / 本地差异"/>
    <x:tableColumn id="10" name="代码位置"/>
    <x:tableColumn id="11" name="待定 A"/>
    <x:tableColumn id="12" name="待定 V"/>
    <x:tableColumn id="13" name="待定 T"/>
    <x:tableColumn id="14" name="待定 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6:M70" headerRowCount="1" totalsRowCount="0" totalsRowShown="0">
  <x:tableColumns count="13">
    <x:tableColumn id="1" name="选项ID"/>
    <x:tableColumn id="2" name="关卡"/>
    <x:tableColumn id="3" name="节点 / 决策"/>
    <x:tableColumn id="4" name="原表选项"/>
    <x:tableColumn id="5" name="A"/>
    <x:tableColumn id="6" name="V"/>
    <x:tableColumn id="7" name="T"/>
    <x:tableColumn id="8" name="F"/>
    <x:tableColumn id="9" name="映射状态"/>
    <x:tableColumn id="10" name="当前服务器证据"/>
    <x:tableColumn id="11" name="缺口 / 待确认"/>
    <x:tableColumn id="12" name="原表位置"/>
    <x:tableColumn id="13" name="原表修订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6:E23" headerRowCount="1" totalsRowCount="0" totalsRowShown="0">
  <x:tableColumns count="5">
    <x:tableColumn id="1" name="编号"/>
    <x:tableColumn id="2" name="事项"/>
    <x:tableColumn id="3" name="当前发现"/>
    <x:tableColumn id="4" name="下一步"/>
    <x:tableColumn id="5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02ed839302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1195921db3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f45e426cc343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8" hidden="0" customWidth="1"/>
    <x:col min="3" max="3" width="26" hidden="0" customWidth="1"/>
    <x:col min="4" max="4" width="18" hidden="0" customWidth="1"/>
    <x:col min="5" max="5" width="43" hidden="0" customWidth="1"/>
    <x:col min="6" max="6" width="48" hidden="0" customWidth="1"/>
    <x:col min="7" max="7" width="13" hidden="0" customWidth="1"/>
    <x:col min="8" max="8" width="40" hidden="0" customWidth="1"/>
    <x:col min="9" max="9" width="50" hidden="0" customWidth="1"/>
    <x:col min="10" max="10" width="4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1" t="str">
        <x:v>本地事件总表 · L1–L4</x:v>
      </x:c>
    </x:row>
    <x:row r="4">
      <x:c r="A4" s="2" t="str">
        <x:v>90 条动作/结果分支 + 8 条记录边界；K:N 为待分配向量，空白表示未决定，不是 0。</x:v>
      </x:c>
    </x:row>
    <x:row r="6" ht="34" customHeight="1">
      <x:c r="A6" s="7" t="str">
        <x:v>事件ID</x:v>
      </x:c>
      <x:c r="B6" s="7" t="str">
        <x:v>关卡</x:v>
      </x:c>
      <x:c r="C6" s="7" t="str">
        <x:v>动作 / 结果</x:v>
      </x:c>
      <x:c r="D6" s="7" t="str">
        <x:v>记录范围</x:v>
      </x:c>
      <x:c r="E6" s="7" t="str">
        <x:v>请求参数</x:v>
      </x:c>
      <x:c r="F6" s="7" t="str">
        <x:v>服务器事实</x:v>
      </x:c>
      <x:c r="G6" s="7" t="str">
        <x:v>V6.2原表行</x:v>
      </x:c>
      <x:c r="H6" s="7" t="str">
        <x:v>计分边界</x:v>
      </x:c>
      <x:c r="I6" s="7" t="str">
        <x:v>证据限制 / 本地差异</x:v>
      </x:c>
      <x:c r="J6" s="7" t="str">
        <x:v>代码位置</x:v>
      </x:c>
      <x:c r="K6" s="7" t="str">
        <x:v>待定 A</x:v>
      </x:c>
      <x:c r="L6" s="7" t="str">
        <x:v>待定 V</x:v>
      </x:c>
      <x:c r="M6" s="7" t="str">
        <x:v>待定 T</x:v>
      </x:c>
      <x:c r="N6" s="7" t="str">
        <x:v>待定 F</x:v>
      </x:c>
    </x:row>
    <x:row r="7" ht="78" customHeight="1">
      <x:c r="A7" s="5" t="str">
        <x:v>L1.take-rope.true</x:v>
      </x:c>
      <x:c r="B7" s="5" t="str">
        <x:v>L1</x:v>
      </x:c>
      <x:c r="C7" s="5" t="str">
        <x:v>拿下绳子：是</x:v>
      </x:c>
      <x:c r="D7" s="5" t="str">
        <x:v>服务器动作</x:v>
      </x:c>
      <x:c r="E7" s="5" t="str">
        <x:v>{"type":"choose","choice":"take-rope","yes":true}</x:v>
      </x:c>
      <x:c r="F7" s="5" t="str">
        <x:v>ropeClicks从0至5；第5次释放</x:v>
      </x:c>
      <x:c r="G7" s="5" t="str">
        <x:v>4</x:v>
      </x:c>
      <x:c r="H7" s="5" t="str">
        <x:v>机械动作不逐次计分</x:v>
      </x:c>
      <x:c r="I7" s="5" t="str">
        <x:v>L1回执无逐动作outcome，需重放接受事件；完整原始请求positions存在DB</x:v>
      </x:c>
      <x:c r="J7" s="5" t="str">
        <x:v>apps/api/app/domain.py:35</x:v>
      </x:c>
      <x:c r="K7" s="9"/>
      <x:c r="L7" s="9"/>
      <x:c r="M7" s="9"/>
      <x:c r="N7" s="9"/>
    </x:row>
    <x:row r="8" ht="78" customHeight="1">
      <x:c r="A8" s="8" t="str">
        <x:v>L1.take-rope.false</x:v>
      </x:c>
      <x:c r="B8" s="8" t="str">
        <x:v>L1</x:v>
      </x:c>
      <x:c r="C8" s="8" t="str">
        <x:v>拿下绳子：否</x:v>
      </x:c>
      <x:c r="D8" s="8" t="str">
        <x:v>服务器动作</x:v>
      </x:c>
      <x:c r="E8" s="8" t="str">
        <x:v>{"type":"choose","choice":"take-rope","yes":false}</x:v>
      </x:c>
      <x:c r="F8" s="8" t="str">
        <x:v>仅记录明确拒绝；状态保持；可重选</x:v>
      </x:c>
      <x:c r="G8" s="8" t="str">
        <x:v>4</x:v>
      </x:c>
      <x:c r="H8" s="8" t="str">
        <x:v>否不自动等于V6.2最终选项；按截止时终态处理</x:v>
      </x:c>
      <x:c r="I8" s="8" t="str">
        <x:v>L1回执无逐动作outcome，需重放接受事件；完整原始请求positions存在DB</x:v>
      </x:c>
      <x:c r="J8" s="8" t="str">
        <x:v>apps/api/app/domain.py:35</x:v>
      </x:c>
      <x:c r="K8" s="9"/>
      <x:c r="L8" s="9"/>
      <x:c r="M8" s="9"/>
      <x:c r="N8" s="9"/>
    </x:row>
    <x:row r="9" ht="78" customHeight="1">
      <x:c r="A9" s="5" t="str">
        <x:v>L1.collect-wood.true</x:v>
      </x:c>
      <x:c r="B9" s="5" t="str">
        <x:v>L1</x:v>
      </x:c>
      <x:c r="C9" s="5" t="str">
        <x:v>材料拾取：是</x:v>
      </x:c>
      <x:c r="D9" s="5" t="str">
        <x:v>服务器动作</x:v>
      </x:c>
      <x:c r="E9" s="5" t="str">
        <x:v>{"type":"choose","choice":"collect-wood","yes":true}</x:v>
      </x:c>
      <x:c r="F9" s="5" t="str">
        <x:v>wood=true；两件材料中心到缺口</x:v>
      </x:c>
      <x:c r="G9" s="5" t="str">
        <x:v>4</x:v>
      </x:c>
      <x:c r="H9" s="5" t="str">
        <x:v>修桥过程，不独立计路径分</x:v>
      </x:c>
      <x:c r="I9" s="5" t="str">
        <x:v>L1回执无逐动作outcome，需重放接受事件；完整原始请求positions存在DB</x:v>
      </x:c>
      <x:c r="J9" s="5" t="str">
        <x:v>apps/api/app/domain.py:35</x:v>
      </x:c>
      <x:c r="K9" s="9"/>
      <x:c r="L9" s="9"/>
      <x:c r="M9" s="9"/>
      <x:c r="N9" s="9"/>
    </x:row>
    <x:row r="10" ht="78" customHeight="1">
      <x:c r="A10" s="8" t="str">
        <x:v>L1.collect-wood.false</x:v>
      </x:c>
      <x:c r="B10" s="8" t="str">
        <x:v>L1</x:v>
      </x:c>
      <x:c r="C10" s="8" t="str">
        <x:v>材料拾取：否</x:v>
      </x:c>
      <x:c r="D10" s="8" t="str">
        <x:v>服务器动作</x:v>
      </x:c>
      <x:c r="E10" s="8" t="str">
        <x:v>{"type":"choose","choice":"collect-wood","yes":false}</x:v>
      </x:c>
      <x:c r="F10" s="8" t="str">
        <x:v>仅记录明确拒绝；状态保持；可重选</x:v>
      </x:c>
      <x:c r="G10" s="8" t="str">
        <x:v>4</x:v>
      </x:c>
      <x:c r="H10" s="8" t="str">
        <x:v>否不自动等于V6.2最终选项；按截止时终态处理</x:v>
      </x:c>
      <x:c r="I10" s="8" t="str">
        <x:v>L1回执无逐动作outcome，需重放接受事件；完整原始请求positions存在DB</x:v>
      </x:c>
      <x:c r="J10" s="8" t="str">
        <x:v>apps/api/app/domain.py:35</x:v>
      </x:c>
      <x:c r="K10" s="9"/>
      <x:c r="L10" s="9"/>
      <x:c r="M10" s="9"/>
      <x:c r="N10" s="9"/>
    </x:row>
    <x:row r="11" ht="78" customHeight="1">
      <x:c r="A11" s="5" t="str">
        <x:v>L1.repair.true</x:v>
      </x:c>
      <x:c r="B11" s="5" t="str">
        <x:v>L1</x:v>
      </x:c>
      <x:c r="C11" s="5" t="str">
        <x:v>修桥：是</x:v>
      </x:c>
      <x:c r="D11" s="5" t="str">
        <x:v>服务器动作</x:v>
      </x:c>
      <x:c r="E11" s="5" t="str">
        <x:v>{"type":"choose","choice":"repair","yes":true}</x:v>
      </x:c>
      <x:c r="F11" s="5" t="str">
        <x:v>repaired=true；wood=false；仍在河岸</x:v>
      </x:c>
      <x:c r="G11" s="5" t="str">
        <x:v>4</x:v>
      </x:c>
      <x:c r="H11" s="5" t="str">
        <x:v>修桥过程，过桥后才取路径终态</x:v>
      </x:c>
      <x:c r="I11" s="5" t="str">
        <x:v>L1回执无逐动作outcome，需重放接受事件；完整原始请求positions存在DB</x:v>
      </x:c>
      <x:c r="J11" s="5" t="str">
        <x:v>apps/api/app/domain.py:35</x:v>
      </x:c>
      <x:c r="K11" s="9"/>
      <x:c r="L11" s="9"/>
      <x:c r="M11" s="9"/>
      <x:c r="N11" s="9"/>
    </x:row>
    <x:row r="12" ht="78" customHeight="1">
      <x:c r="A12" s="8" t="str">
        <x:v>L1.repair.false</x:v>
      </x:c>
      <x:c r="B12" s="8" t="str">
        <x:v>L1</x:v>
      </x:c>
      <x:c r="C12" s="8" t="str">
        <x:v>修桥：否</x:v>
      </x:c>
      <x:c r="D12" s="8" t="str">
        <x:v>服务器动作</x:v>
      </x:c>
      <x:c r="E12" s="8" t="str">
        <x:v>{"type":"choose","choice":"repair","yes":false}</x:v>
      </x:c>
      <x:c r="F12" s="8" t="str">
        <x:v>仅记录明确拒绝；状态保持；可重选</x:v>
      </x:c>
      <x:c r="G12" s="8" t="str">
        <x:v>4</x:v>
      </x:c>
      <x:c r="H12" s="8" t="str">
        <x:v>否不自动等于V6.2最终选项；按截止时终态处理</x:v>
      </x:c>
      <x:c r="I12" s="8" t="str">
        <x:v>L1回执无逐动作outcome，需重放接受事件；完整原始请求positions存在DB</x:v>
      </x:c>
      <x:c r="J12" s="8" t="str">
        <x:v>apps/api/app/domain.py:35</x:v>
      </x:c>
      <x:c r="K12" s="9"/>
      <x:c r="L12" s="9"/>
      <x:c r="M12" s="9"/>
      <x:c r="N12" s="9"/>
    </x:row>
    <x:row r="13" ht="78" customHeight="1">
      <x:c r="A13" s="5" t="str">
        <x:v>L1.cross-bridge.true</x:v>
      </x:c>
      <x:c r="B13" s="5" t="str">
        <x:v>L1</x:v>
      </x:c>
      <x:c r="C13" s="5" t="str">
        <x:v>走桥过河：是</x:v>
      </x:c>
      <x:c r="D13" s="5" t="str">
        <x:v>服务器动作</x:v>
      </x:c>
      <x:c r="E13" s="5" t="str">
        <x:v>{"type":"choose","choice":"cross-bridge","yes":true}</x:v>
      </x:c>
      <x:c r="F13" s="5" t="str">
        <x:v>scene=shore; route=bridge</x:v>
      </x:c>
      <x:c r="G13" s="5" t="str">
        <x:v>4</x:v>
      </x:c>
      <x:c r="H13" s="5" t="str">
        <x:v>最终路径</x:v>
      </x:c>
      <x:c r="I13" s="5" t="str">
        <x:v>L1回执无逐动作outcome，需重放接受事件；完整原始请求positions存在DB</x:v>
      </x:c>
      <x:c r="J13" s="5" t="str">
        <x:v>apps/api/app/domain.py:35</x:v>
      </x:c>
      <x:c r="K13" s="9"/>
      <x:c r="L13" s="9"/>
      <x:c r="M13" s="9"/>
      <x:c r="N13" s="9"/>
    </x:row>
    <x:row r="14" ht="78" customHeight="1">
      <x:c r="A14" s="8" t="str">
        <x:v>L1.cross-bridge.false</x:v>
      </x:c>
      <x:c r="B14" s="8" t="str">
        <x:v>L1</x:v>
      </x:c>
      <x:c r="C14" s="8" t="str">
        <x:v>走桥过河：否</x:v>
      </x:c>
      <x:c r="D14" s="8" t="str">
        <x:v>服务器动作</x:v>
      </x:c>
      <x:c r="E14" s="8" t="str">
        <x:v>{"type":"choose","choice":"cross-bridge","yes":false}</x:v>
      </x:c>
      <x:c r="F14" s="8" t="str">
        <x:v>仅记录明确拒绝；状态保持；可重选</x:v>
      </x:c>
      <x:c r="G14" s="8" t="str">
        <x:v>4</x:v>
      </x:c>
      <x:c r="H14" s="8" t="str">
        <x:v>否不自动等于V6.2最终选项；按截止时终态处理</x:v>
      </x:c>
      <x:c r="I14" s="8" t="str">
        <x:v>L1回执无逐动作outcome，需重放接受事件；完整原始请求positions存在DB</x:v>
      </x:c>
      <x:c r="J14" s="8" t="str">
        <x:v>apps/api/app/domain.py:35</x:v>
      </x:c>
      <x:c r="K14" s="9"/>
      <x:c r="L14" s="9"/>
      <x:c r="M14" s="9"/>
      <x:c r="N14" s="9"/>
    </x:row>
    <x:row r="15" ht="78" customHeight="1">
      <x:c r="A15" s="5" t="str">
        <x:v>L1.swim.true</x:v>
      </x:c>
      <x:c r="B15" s="5" t="str">
        <x:v>L1</x:v>
      </x:c>
      <x:c r="C15" s="5" t="str">
        <x:v>直接游泳：是</x:v>
      </x:c>
      <x:c r="D15" s="5" t="str">
        <x:v>服务器动作</x:v>
      </x:c>
      <x:c r="E15" s="5" t="str">
        <x:v>{"type":"choose","choice":"swim","yes":true}</x:v>
      </x:c>
      <x:c r="F15" s="5" t="str">
        <x:v>scene=shore; route=swim</x:v>
      </x:c>
      <x:c r="G15" s="5" t="str">
        <x:v>5</x:v>
      </x:c>
      <x:c r="H15" s="5" t="str">
        <x:v>最终路径</x:v>
      </x:c>
      <x:c r="I15" s="5" t="str">
        <x:v>L1回执无逐动作outcome，需重放接受事件；完整原始请求positions存在DB</x:v>
      </x:c>
      <x:c r="J15" s="5" t="str">
        <x:v>apps/api/app/domain.py:35</x:v>
      </x:c>
      <x:c r="K15" s="9"/>
      <x:c r="L15" s="9"/>
      <x:c r="M15" s="9"/>
      <x:c r="N15" s="9"/>
    </x:row>
    <x:row r="16" ht="78" customHeight="1">
      <x:c r="A16" s="8" t="str">
        <x:v>L1.swim.false</x:v>
      </x:c>
      <x:c r="B16" s="8" t="str">
        <x:v>L1</x:v>
      </x:c>
      <x:c r="C16" s="8" t="str">
        <x:v>直接游泳：否</x:v>
      </x:c>
      <x:c r="D16" s="8" t="str">
        <x:v>服务器动作</x:v>
      </x:c>
      <x:c r="E16" s="8" t="str">
        <x:v>{"type":"choose","choice":"swim","yes":false}</x:v>
      </x:c>
      <x:c r="F16" s="8" t="str">
        <x:v>仅记录明确拒绝；状态保持；可重选</x:v>
      </x:c>
      <x:c r="G16" s="8" t="str">
        <x:v>5</x:v>
      </x:c>
      <x:c r="H16" s="8" t="str">
        <x:v>否不自动等于V6.2最终选项；按截止时终态处理</x:v>
      </x:c>
      <x:c r="I16" s="8" t="str">
        <x:v>L1回执无逐动作outcome，需重放接受事件；完整原始请求positions存在DB</x:v>
      </x:c>
      <x:c r="J16" s="8" t="str">
        <x:v>apps/api/app/domain.py:35</x:v>
      </x:c>
      <x:c r="K16" s="9"/>
      <x:c r="L16" s="9"/>
      <x:c r="M16" s="9"/>
      <x:c r="N16" s="9"/>
    </x:row>
    <x:row r="17" ht="78" customHeight="1">
      <x:c r="A17" s="5" t="str">
        <x:v>L1.use-ring.true</x:v>
      </x:c>
      <x:c r="B17" s="5" t="str">
        <x:v>L1</x:v>
      </x:c>
      <x:c r="C17" s="5" t="str">
        <x:v>救生圈过河：是</x:v>
      </x:c>
      <x:c r="D17" s="5" t="str">
        <x:v>服务器动作</x:v>
      </x:c>
      <x:c r="E17" s="5" t="str">
        <x:v>{"type":"choose","choice":"use-ring","yes":true}</x:v>
      </x:c>
      <x:c r="F17" s="5" t="str">
        <x:v>scene=shore; route=ring</x:v>
      </x:c>
      <x:c r="G17" s="5" t="str">
        <x:v>6</x:v>
      </x:c>
      <x:c r="H17" s="5" t="str">
        <x:v>最终路径</x:v>
      </x:c>
      <x:c r="I17" s="5" t="str">
        <x:v>L1回执无逐动作outcome，需重放接受事件；完整原始请求positions存在DB</x:v>
      </x:c>
      <x:c r="J17" s="5" t="str">
        <x:v>apps/api/app/domain.py:35</x:v>
      </x:c>
      <x:c r="K17" s="9"/>
      <x:c r="L17" s="9"/>
      <x:c r="M17" s="9"/>
      <x:c r="N17" s="9"/>
    </x:row>
    <x:row r="18" ht="78" customHeight="1">
      <x:c r="A18" s="8" t="str">
        <x:v>L1.use-ring.false</x:v>
      </x:c>
      <x:c r="B18" s="8" t="str">
        <x:v>L1</x:v>
      </x:c>
      <x:c r="C18" s="8" t="str">
        <x:v>救生圈过河：否</x:v>
      </x:c>
      <x:c r="D18" s="8" t="str">
        <x:v>服务器动作</x:v>
      </x:c>
      <x:c r="E18" s="8" t="str">
        <x:v>{"type":"choose","choice":"use-ring","yes":false}</x:v>
      </x:c>
      <x:c r="F18" s="8" t="str">
        <x:v>仅记录明确拒绝；状态保持；可重选</x:v>
      </x:c>
      <x:c r="G18" s="8" t="str">
        <x:v>6</x:v>
      </x:c>
      <x:c r="H18" s="8" t="str">
        <x:v>否不自动等于V6.2最终选项；按截止时终态处理</x:v>
      </x:c>
      <x:c r="I18" s="8" t="str">
        <x:v>L1回执无逐动作outcome，需重放接受事件；完整原始请求positions存在DB</x:v>
      </x:c>
      <x:c r="J18" s="8" t="str">
        <x:v>apps/api/app/domain.py:35</x:v>
      </x:c>
      <x:c r="K18" s="9"/>
      <x:c r="L18" s="9"/>
      <x:c r="M18" s="9"/>
      <x:c r="N18" s="9"/>
    </x:row>
    <x:row r="19" ht="78" customHeight="1">
      <x:c r="A19" s="5" t="str">
        <x:v>L1.search.true</x:v>
      </x:c>
      <x:c r="B19" s="5" t="str">
        <x:v>L1</x:v>
      </x:c>
      <x:c r="C19" s="5" t="str">
        <x:v>拨草找桨：是</x:v>
      </x:c>
      <x:c r="D19" s="5" t="str">
        <x:v>服务器动作</x:v>
      </x:c>
      <x:c r="E19" s="5" t="str">
        <x:v>{"type":"choose","choice":"search","yes":true}</x:v>
      </x:c>
      <x:c r="F19" s="5" t="str">
        <x:v>bushClicks从0至5；第5次oar=true</x:v>
      </x:c>
      <x:c r="G19" s="5" t="str">
        <x:v>7</x:v>
      </x:c>
      <x:c r="H19" s="5" t="str">
        <x:v>机械动作不逐次计分</x:v>
      </x:c>
      <x:c r="I19" s="5" t="str">
        <x:v>L1回执无逐动作outcome，需重放接受事件；完整原始请求positions存在DB</x:v>
      </x:c>
      <x:c r="J19" s="5" t="str">
        <x:v>apps/api/app/domain.py:35</x:v>
      </x:c>
      <x:c r="K19" s="9"/>
      <x:c r="L19" s="9"/>
      <x:c r="M19" s="9"/>
      <x:c r="N19" s="9"/>
    </x:row>
    <x:row r="20" ht="78" customHeight="1">
      <x:c r="A20" s="8" t="str">
        <x:v>L1.search.false</x:v>
      </x:c>
      <x:c r="B20" s="8" t="str">
        <x:v>L1</x:v>
      </x:c>
      <x:c r="C20" s="8" t="str">
        <x:v>拨草找桨：否</x:v>
      </x:c>
      <x:c r="D20" s="8" t="str">
        <x:v>服务器动作</x:v>
      </x:c>
      <x:c r="E20" s="8" t="str">
        <x:v>{"type":"choose","choice":"search","yes":false}</x:v>
      </x:c>
      <x:c r="F20" s="8" t="str">
        <x:v>仅记录明确拒绝；状态保持；可重选</x:v>
      </x:c>
      <x:c r="G20" s="8" t="str">
        <x:v>7</x:v>
      </x:c>
      <x:c r="H20" s="8" t="str">
        <x:v>否不自动等于V6.2最终选项；按截止时终态处理</x:v>
      </x:c>
      <x:c r="I20" s="8" t="str">
        <x:v>L1回执无逐动作outcome，需重放接受事件；完整原始请求positions存在DB</x:v>
      </x:c>
      <x:c r="J20" s="8" t="str">
        <x:v>apps/api/app/domain.py:35</x:v>
      </x:c>
      <x:c r="K20" s="9"/>
      <x:c r="L20" s="9"/>
      <x:c r="M20" s="9"/>
      <x:c r="N20" s="9"/>
    </x:row>
    <x:row r="21" ht="78" customHeight="1">
      <x:c r="A21" s="5" t="str">
        <x:v>L1.board.true</x:v>
      </x:c>
      <x:c r="B21" s="5" t="str">
        <x:v>L1</x:v>
      </x:c>
      <x:c r="C21" s="5" t="str">
        <x:v>上船：是</x:v>
      </x:c>
      <x:c r="D21" s="5" t="str">
        <x:v>服务器动作</x:v>
      </x:c>
      <x:c r="E21" s="5" t="str">
        <x:v>{"type":"choose","choice":"board","yes":true}</x:v>
      </x:c>
      <x:c r="F21" s="5" t="str">
        <x:v>rowing=true；需要oar</x:v>
      </x:c>
      <x:c r="G21" s="5" t="str">
        <x:v>7</x:v>
      </x:c>
      <x:c r="H21" s="5" t="str">
        <x:v>路径过程，不额外加分</x:v>
      </x:c>
      <x:c r="I21" s="5" t="str">
        <x:v>L1回执无逐动作outcome，需重放接受事件；完整原始请求positions存在DB</x:v>
      </x:c>
      <x:c r="J21" s="5" t="str">
        <x:v>apps/api/app/domain.py:35</x:v>
      </x:c>
      <x:c r="K21" s="9"/>
      <x:c r="L21" s="9"/>
      <x:c r="M21" s="9"/>
      <x:c r="N21" s="9"/>
    </x:row>
    <x:row r="22" ht="78" customHeight="1">
      <x:c r="A22" s="8" t="str">
        <x:v>L1.board.false</x:v>
      </x:c>
      <x:c r="B22" s="8" t="str">
        <x:v>L1</x:v>
      </x:c>
      <x:c r="C22" s="8" t="str">
        <x:v>上船：否</x:v>
      </x:c>
      <x:c r="D22" s="8" t="str">
        <x:v>服务器动作</x:v>
      </x:c>
      <x:c r="E22" s="8" t="str">
        <x:v>{"type":"choose","choice":"board","yes":false}</x:v>
      </x:c>
      <x:c r="F22" s="8" t="str">
        <x:v>仅记录明确拒绝；状态保持；可重选</x:v>
      </x:c>
      <x:c r="G22" s="8" t="str">
        <x:v>7</x:v>
      </x:c>
      <x:c r="H22" s="8" t="str">
        <x:v>否不自动等于V6.2最终选项；按截止时终态处理</x:v>
      </x:c>
      <x:c r="I22" s="8" t="str">
        <x:v>L1回执无逐动作outcome，需重放接受事件；完整原始请求positions存在DB</x:v>
      </x:c>
      <x:c r="J22" s="8" t="str">
        <x:v>apps/api/app/domain.py:35</x:v>
      </x:c>
      <x:c r="K22" s="9"/>
      <x:c r="L22" s="9"/>
      <x:c r="M22" s="9"/>
      <x:c r="N22" s="9"/>
    </x:row>
    <x:row r="23" ht="78" customHeight="1">
      <x:c r="A23" s="5" t="str">
        <x:v>L1.greet.true</x:v>
      </x:c>
      <x:c r="B23" s="5" t="str">
        <x:v>L1</x:v>
      </x:c>
      <x:c r="C23" s="5" t="str">
        <x:v>向男子打招呼：是</x:v>
      </x:c>
      <x:c r="D23" s="5" t="str">
        <x:v>服务器动作</x:v>
      </x:c>
      <x:c r="E23" s="5" t="str">
        <x:v>{"type":"choose","choice":"greet","yes":true}</x:v>
      </x:c>
      <x:c r="F23" s="5" t="str">
        <x:v>greeted=true</x:v>
      </x:c>
      <x:c r="G23" s="5" t="str">
        <x:v>10:12</x:v>
      </x:c>
      <x:c r="H23" s="5" t="str">
        <x:v>仅能证明打招呼，不能证明交谈</x:v>
      </x:c>
      <x:c r="I23" s="5" t="str">
        <x:v>L1回执无逐动作outcome，需重放接受事件；完整原始请求positions存在DB</x:v>
      </x:c>
      <x:c r="J23" s="5" t="str">
        <x:v>apps/api/app/domain.py:35</x:v>
      </x:c>
      <x:c r="K23" s="9"/>
      <x:c r="L23" s="9"/>
      <x:c r="M23" s="9"/>
      <x:c r="N23" s="9"/>
    </x:row>
    <x:row r="24" ht="78" customHeight="1">
      <x:c r="A24" s="8" t="str">
        <x:v>L1.greet.false</x:v>
      </x:c>
      <x:c r="B24" s="8" t="str">
        <x:v>L1</x:v>
      </x:c>
      <x:c r="C24" s="8" t="str">
        <x:v>向男子打招呼：否</x:v>
      </x:c>
      <x:c r="D24" s="8" t="str">
        <x:v>服务器动作</x:v>
      </x:c>
      <x:c r="E24" s="8" t="str">
        <x:v>{"type":"choose","choice":"greet","yes":false}</x:v>
      </x:c>
      <x:c r="F24" s="8" t="str">
        <x:v>仅记录明确拒绝；状态保持；可重选</x:v>
      </x:c>
      <x:c r="G24" s="8" t="str">
        <x:v>10:12</x:v>
      </x:c>
      <x:c r="H24" s="8" t="str">
        <x:v>否不自动等于V6.2最终选项；按截止时终态处理</x:v>
      </x:c>
      <x:c r="I24" s="8" t="str">
        <x:v>L1回执无逐动作outcome，需重放接受事件；完整原始请求positions存在DB</x:v>
      </x:c>
      <x:c r="J24" s="8" t="str">
        <x:v>apps/api/app/domain.py:35</x:v>
      </x:c>
      <x:c r="K24" s="9"/>
      <x:c r="L24" s="9"/>
      <x:c r="M24" s="9"/>
      <x:c r="N24" s="9"/>
    </x:row>
    <x:row r="25" ht="78" customHeight="1">
      <x:c r="A25" s="5" t="str">
        <x:v>L1.greet-woman.true</x:v>
      </x:c>
      <x:c r="B25" s="5" t="str">
        <x:v>L1</x:v>
      </x:c>
      <x:c r="C25" s="5" t="str">
        <x:v>向女子打招呼：是</x:v>
      </x:c>
      <x:c r="D25" s="5" t="str">
        <x:v>服务器动作</x:v>
      </x:c>
      <x:c r="E25" s="5" t="str">
        <x:v>{"type":"choose","choice":"greet-woman","yes":true}</x:v>
      </x:c>
      <x:c r="F25" s="5" t="str">
        <x:v>greetedWoman=true</x:v>
      </x:c>
      <x:c r="G25" s="5" t="str">
        <x:v>10:12</x:v>
      </x:c>
      <x:c r="H25" s="5" t="str">
        <x:v>两个独立人物的节点合并待定</x:v>
      </x:c>
      <x:c r="I25" s="5" t="str">
        <x:v>L1回执无逐动作outcome，需重放接受事件；完整原始请求positions存在DB</x:v>
      </x:c>
      <x:c r="J25" s="5" t="str">
        <x:v>apps/api/app/domain.py:35</x:v>
      </x:c>
      <x:c r="K25" s="9"/>
      <x:c r="L25" s="9"/>
      <x:c r="M25" s="9"/>
      <x:c r="N25" s="9"/>
    </x:row>
    <x:row r="26" ht="78" customHeight="1">
      <x:c r="A26" s="8" t="str">
        <x:v>L1.greet-woman.false</x:v>
      </x:c>
      <x:c r="B26" s="8" t="str">
        <x:v>L1</x:v>
      </x:c>
      <x:c r="C26" s="8" t="str">
        <x:v>向女子打招呼：否</x:v>
      </x:c>
      <x:c r="D26" s="8" t="str">
        <x:v>服务器动作</x:v>
      </x:c>
      <x:c r="E26" s="8" t="str">
        <x:v>{"type":"choose","choice":"greet-woman","yes":false}</x:v>
      </x:c>
      <x:c r="F26" s="8" t="str">
        <x:v>仅记录明确拒绝；状态保持；可重选</x:v>
      </x:c>
      <x:c r="G26" s="8" t="str">
        <x:v>10:12</x:v>
      </x:c>
      <x:c r="H26" s="8" t="str">
        <x:v>否不自动等于V6.2最终选项；按截止时终态处理</x:v>
      </x:c>
      <x:c r="I26" s="8" t="str">
        <x:v>L1回执无逐动作outcome，需重放接受事件；完整原始请求positions存在DB</x:v>
      </x:c>
      <x:c r="J26" s="8" t="str">
        <x:v>apps/api/app/domain.py:35</x:v>
      </x:c>
      <x:c r="K26" s="9"/>
      <x:c r="L26" s="9"/>
      <x:c r="M26" s="9"/>
      <x:c r="N26" s="9"/>
    </x:row>
    <x:row r="27" ht="78" customHeight="1">
      <x:c r="A27" s="5" t="str">
        <x:v>L1.take-lamp.true</x:v>
      </x:c>
      <x:c r="B27" s="5" t="str">
        <x:v>L1</x:v>
      </x:c>
      <x:c r="C27" s="5" t="str">
        <x:v>拿灯：是</x:v>
      </x:c>
      <x:c r="D27" s="5" t="str">
        <x:v>服务器动作</x:v>
      </x:c>
      <x:c r="E27" s="5" t="str">
        <x:v>{"type":"choose","choice":"take-lamp","yes":true}</x:v>
      </x:c>
      <x:c r="F27" s="5" t="str">
        <x:v>lampTaken=true</x:v>
      </x:c>
      <x:c r="G27" s="5" t="str">
        <x:v>13:16</x:v>
      </x:c>
      <x:c r="H27" s="5" t="str">
        <x:v>灯四种终态归并</x:v>
      </x:c>
      <x:c r="I27" s="5" t="str">
        <x:v>L1回执无逐动作outcome，需重放接受事件；完整原始请求positions存在DB</x:v>
      </x:c>
      <x:c r="J27" s="5" t="str">
        <x:v>apps/api/app/domain.py:35</x:v>
      </x:c>
      <x:c r="K27" s="9"/>
      <x:c r="L27" s="9"/>
      <x:c r="M27" s="9"/>
      <x:c r="N27" s="9"/>
    </x:row>
    <x:row r="28" ht="78" customHeight="1">
      <x:c r="A28" s="8" t="str">
        <x:v>L1.take-lamp.false</x:v>
      </x:c>
      <x:c r="B28" s="8" t="str">
        <x:v>L1</x:v>
      </x:c>
      <x:c r="C28" s="8" t="str">
        <x:v>拿灯：否</x:v>
      </x:c>
      <x:c r="D28" s="8" t="str">
        <x:v>服务器动作</x:v>
      </x:c>
      <x:c r="E28" s="8" t="str">
        <x:v>{"type":"choose","choice":"take-lamp","yes":false}</x:v>
      </x:c>
      <x:c r="F28" s="8" t="str">
        <x:v>仅记录明确拒绝；状态保持；可重选</x:v>
      </x:c>
      <x:c r="G28" s="8" t="str">
        <x:v>13:16</x:v>
      </x:c>
      <x:c r="H28" s="8" t="str">
        <x:v>否不自动等于V6.2最终选项；按截止时终态处理</x:v>
      </x:c>
      <x:c r="I28" s="8" t="str">
        <x:v>L1回执无逐动作outcome，需重放接受事件；完整原始请求positions存在DB</x:v>
      </x:c>
      <x:c r="J28" s="8" t="str">
        <x:v>apps/api/app/domain.py:35</x:v>
      </x:c>
      <x:c r="K28" s="9"/>
      <x:c r="L28" s="9"/>
      <x:c r="M28" s="9"/>
      <x:c r="N28" s="9"/>
    </x:row>
    <x:row r="29" ht="78" customHeight="1">
      <x:c r="A29" s="5" t="str">
        <x:v>L1.light-lamp.true</x:v>
      </x:c>
      <x:c r="B29" s="5" t="str">
        <x:v>L1</x:v>
      </x:c>
      <x:c r="C29" s="5" t="str">
        <x:v>点灯：是</x:v>
      </x:c>
      <x:c r="D29" s="5" t="str">
        <x:v>服务器动作</x:v>
      </x:c>
      <x:c r="E29" s="5" t="str">
        <x:v>{"type":"choose","choice":"light-lamp","yes":true}</x:v>
      </x:c>
      <x:c r="F29" s="5" t="str">
        <x:v>lampLit=true；可先点后拿</x:v>
      </x:c>
      <x:c r="G29" s="5" t="str">
        <x:v>13:16</x:v>
      </x:c>
      <x:c r="H29" s="5" t="str">
        <x:v>灯四种终态归并</x:v>
      </x:c>
      <x:c r="I29" s="5" t="str">
        <x:v>L1回执无逐动作outcome，需重放接受事件；完整原始请求positions存在DB</x:v>
      </x:c>
      <x:c r="J29" s="5" t="str">
        <x:v>apps/api/app/domain.py:35</x:v>
      </x:c>
      <x:c r="K29" s="9"/>
      <x:c r="L29" s="9"/>
      <x:c r="M29" s="9"/>
      <x:c r="N29" s="9"/>
    </x:row>
    <x:row r="30" ht="78" customHeight="1">
      <x:c r="A30" s="8" t="str">
        <x:v>L1.light-lamp.false</x:v>
      </x:c>
      <x:c r="B30" s="8" t="str">
        <x:v>L1</x:v>
      </x:c>
      <x:c r="C30" s="8" t="str">
        <x:v>点灯：否</x:v>
      </x:c>
      <x:c r="D30" s="8" t="str">
        <x:v>服务器动作</x:v>
      </x:c>
      <x:c r="E30" s="8" t="str">
        <x:v>{"type":"choose","choice":"light-lamp","yes":false}</x:v>
      </x:c>
      <x:c r="F30" s="8" t="str">
        <x:v>仅记录明确拒绝；状态保持；可重选</x:v>
      </x:c>
      <x:c r="G30" s="8" t="str">
        <x:v>13:16</x:v>
      </x:c>
      <x:c r="H30" s="8" t="str">
        <x:v>否不自动等于V6.2最终选项；按截止时终态处理</x:v>
      </x:c>
      <x:c r="I30" s="8" t="str">
        <x:v>L1回执无逐动作outcome，需重放接受事件；完整原始请求positions存在DB</x:v>
      </x:c>
      <x:c r="J30" s="8" t="str">
        <x:v>apps/api/app/domain.py:35</x:v>
      </x:c>
      <x:c r="K30" s="9"/>
      <x:c r="L30" s="9"/>
      <x:c r="M30" s="9"/>
      <x:c r="N30" s="9"/>
    </x:row>
    <x:row r="31" ht="78" customHeight="1">
      <x:c r="A31" s="5" t="str">
        <x:v>L1.enter.true</x:v>
      </x:c>
      <x:c r="B31" s="5" t="str">
        <x:v>L1</x:v>
      </x:c>
      <x:c r="C31" s="5" t="str">
        <x:v>进门结束L1：是</x:v>
      </x:c>
      <x:c r="D31" s="5" t="str">
        <x:v>服务器动作</x:v>
      </x:c>
      <x:c r="E31" s="5" t="str">
        <x:v>{"type":"choose","choice":"enter","yes":true}</x:v>
      </x:c>
      <x:c r="F31" s="5" t="str">
        <x:v>scene=complete；冻结路线/灯/人物结果</x:v>
      </x:c>
      <x:c r="G31" s="5" t="str">
        <x:v>10:16</x:v>
      </x:c>
      <x:c r="H31" s="5" t="str">
        <x:v>完成和终态截止，不另加基础分</x:v>
      </x:c>
      <x:c r="I31" s="5" t="str">
        <x:v>L1回执无逐动作outcome，需重放接受事件；完整原始请求positions存在DB</x:v>
      </x:c>
      <x:c r="J31" s="5" t="str">
        <x:v>apps/api/app/domain.py:35</x:v>
      </x:c>
      <x:c r="K31" s="9"/>
      <x:c r="L31" s="9"/>
      <x:c r="M31" s="9"/>
      <x:c r="N31" s="9"/>
    </x:row>
    <x:row r="32" ht="78" customHeight="1">
      <x:c r="A32" s="8" t="str">
        <x:v>L1.enter.false</x:v>
      </x:c>
      <x:c r="B32" s="8" t="str">
        <x:v>L1</x:v>
      </x:c>
      <x:c r="C32" s="8" t="str">
        <x:v>进门结束L1：否</x:v>
      </x:c>
      <x:c r="D32" s="8" t="str">
        <x:v>服务器动作</x:v>
      </x:c>
      <x:c r="E32" s="8" t="str">
        <x:v>{"type":"choose","choice":"enter","yes":false}</x:v>
      </x:c>
      <x:c r="F32" s="8" t="str">
        <x:v>仅记录明确拒绝；状态保持；可重选</x:v>
      </x:c>
      <x:c r="G32" s="8" t="str">
        <x:v>10:16</x:v>
      </x:c>
      <x:c r="H32" s="8" t="str">
        <x:v>否不自动等于V6.2最终选项；按截止时终态处理</x:v>
      </x:c>
      <x:c r="I32" s="8" t="str">
        <x:v>L1回执无逐动作outcome，需重放接受事件；完整原始请求positions存在DB</x:v>
      </x:c>
      <x:c r="J32" s="8" t="str">
        <x:v>apps/api/app/domain.py:35</x:v>
      </x:c>
      <x:c r="K32" s="9"/>
      <x:c r="L32" s="9"/>
      <x:c r="M32" s="9"/>
      <x:c r="N32" s="9"/>
    </x:row>
    <x:row r="33" ht="78" customHeight="1">
      <x:c r="A33" s="5" t="str">
        <x:v>L1.paddle</x:v>
      </x:c>
      <x:c r="B33" s="5" t="str">
        <x:v>L1</x:v>
      </x:c>
      <x:c r="C33" s="5" t="str">
        <x:v>划桨一次（1–5）</x:v>
      </x:c>
      <x:c r="D33" s="5" t="str">
        <x:v>服务器动作</x:v>
      </x:c>
      <x:c r="E33" s="5" t="str">
        <x:v>{"type":"paddle"}</x:v>
      </x:c>
      <x:c r="F33" s="5" t="str">
        <x:v>strokes+1；第5次scene=shore,route=boat</x:v>
      </x:c>
      <x:c r="G33" s="5" t="str">
        <x:v>7</x:v>
      </x:c>
      <x:c r="H33" s="5" t="str">
        <x:v>五次是机械过程，只取boat路径终态</x:v>
      </x:c>
      <x:c r="I33" s="5" t="str"/>
      <x:c r="J33" s="5" t="str">
        <x:v>apps/api/app/domain.py:35</x:v>
      </x:c>
      <x:c r="K33" s="9"/>
      <x:c r="L33" s="9"/>
      <x:c r="M33" s="9"/>
      <x:c r="N33" s="9"/>
    </x:row>
    <x:row r="34" ht="78" customHeight="1">
      <x:c r="A34" s="8" t="str">
        <x:v>L2.arrive-table</x:v>
      </x:c>
      <x:c r="B34" s="8" t="str">
        <x:v>L2</x:v>
      </x:c>
      <x:c r="C34" s="8" t="str">
        <x:v>arrive-table</x:v>
      </x:c>
      <x:c r="D34" s="8" t="str">
        <x:v>服务器动作</x:v>
      </x:c>
      <x:c r="E34" s="8" t="str">
        <x:v>{"type":"arrive-table"}</x:v>
      </x:c>
      <x:c r="F34" s="8" t="str">
        <x:v>atTable=true</x:v>
      </x:c>
      <x:c r="G34" s="8" t="str">
        <x:v>19</x:v>
      </x:c>
      <x:c r="H34" s="8" t="str">
        <x:v>需按V6.2节点终态归并</x:v>
      </x:c>
      <x:c r="I34" s="8" t="str"/>
      <x:c r="J34" s="8" t="str">
        <x:v>apps/api/app/l2_domain.py:22</x:v>
      </x:c>
      <x:c r="K34" s="9"/>
      <x:c r="L34" s="9"/>
      <x:c r="M34" s="9"/>
      <x:c r="N34" s="9"/>
    </x:row>
    <x:row r="35" ht="78" customHeight="1">
      <x:c r="A35" s="5" t="str">
        <x:v>L2.return-hall</x:v>
      </x:c>
      <x:c r="B35" s="5" t="str">
        <x:v>L2</x:v>
      </x:c>
      <x:c r="C35" s="5" t="str">
        <x:v>return-hall</x:v>
      </x:c>
      <x:c r="D35" s="5" t="str">
        <x:v>服务器动作</x:v>
      </x:c>
      <x:c r="E35" s="5" t="str">
        <x:v>{"type":"return-hall"}</x:v>
      </x:c>
      <x:c r="F35" s="5" t="str">
        <x:v>view=room；searching变returned</x:v>
      </x:c>
      <x:c r="G35" s="5" t="str">
        <x:v>30:31</x:v>
      </x:c>
      <x:c r="H35" s="5" t="str">
        <x:v>需按V6.2节点终态归并</x:v>
      </x:c>
      <x:c r="I35" s="5" t="str"/>
      <x:c r="J35" s="5" t="str">
        <x:v>apps/api/app/l2_domain.py:22</x:v>
      </x:c>
      <x:c r="K35" s="9"/>
      <x:c r="L35" s="9"/>
      <x:c r="M35" s="9"/>
      <x:c r="N35" s="9"/>
    </x:row>
    <x:row r="36" ht="78" customHeight="1">
      <x:c r="A36" s="8" t="str">
        <x:v>L2.curtain-click</x:v>
      </x:c>
      <x:c r="B36" s="8" t="str">
        <x:v>L2</x:v>
      </x:c>
      <x:c r="C36" s="8" t="str">
        <x:v>curtain-click</x:v>
      </x:c>
      <x:c r="D36" s="8" t="str">
        <x:v>服务器动作</x:v>
      </x:c>
      <x:c r="E36" s="8" t="str">
        <x:v>{"type":"curtain-click"}</x:v>
      </x:c>
      <x:c r="F36" s="8" t="str">
        <x:v>curtainClicks+1；第3次status=found</x:v>
      </x:c>
      <x:c r="G36" s="8" t="str">
        <x:v>29:31</x:v>
      </x:c>
      <x:c r="H36" s="8" t="str">
        <x:v>需按V6.2节点终态归并</x:v>
      </x:c>
      <x:c r="I36" s="8" t="str"/>
      <x:c r="J36" s="8" t="str">
        <x:v>apps/api/app/l2_domain.py:22</x:v>
      </x:c>
      <x:c r="K36" s="9"/>
      <x:c r="L36" s="9"/>
      <x:c r="M36" s="9"/>
      <x:c r="N36" s="9"/>
    </x:row>
    <x:row r="37" ht="78" customHeight="1">
      <x:c r="A37" s="5" t="str">
        <x:v>L2.layout-start</x:v>
      </x:c>
      <x:c r="B37" s="5" t="str">
        <x:v>L2</x:v>
      </x:c>
      <x:c r="C37" s="5" t="str">
        <x:v>layout-start</x:v>
      </x:c>
      <x:c r="D37" s="5" t="str">
        <x:v>服务器动作</x:v>
      </x:c>
      <x:c r="E37" s="5" t="str">
        <x:v>{"type":"layout-start"}</x:v>
      </x:c>
      <x:c r="F37" s="5" t="str">
        <x:v>editing=true</x:v>
      </x:c>
      <x:c r="G37" s="5" t="str">
        <x:v>32:43</x:v>
      </x:c>
      <x:c r="H37" s="5" t="str">
        <x:v>需按V6.2节点终态归并</x:v>
      </x:c>
      <x:c r="I37" s="5" t="str"/>
      <x:c r="J37" s="5" t="str">
        <x:v>apps/api/app/l2_domain.py:22</x:v>
      </x:c>
      <x:c r="K37" s="9"/>
      <x:c r="L37" s="9"/>
      <x:c r="M37" s="9"/>
      <x:c r="N37" s="9"/>
    </x:row>
    <x:row r="38" ht="78" customHeight="1">
      <x:c r="A38" s="8" t="str">
        <x:v>L2.layout-exit</x:v>
      </x:c>
      <x:c r="B38" s="8" t="str">
        <x:v>L2</x:v>
      </x:c>
      <x:c r="C38" s="8" t="str">
        <x:v>layout-exit</x:v>
      </x:c>
      <x:c r="D38" s="8" t="str">
        <x:v>服务器动作</x:v>
      </x:c>
      <x:c r="E38" s="8" t="str">
        <x:v>{"type":"layout-exit"}</x:v>
      </x:c>
      <x:c r="F38" s="8" t="str">
        <x:v>editing=false</x:v>
      </x:c>
      <x:c r="G38" s="8" t="str">
        <x:v>32:43</x:v>
      </x:c>
      <x:c r="H38" s="8" t="str">
        <x:v>需按V6.2节点终态归并</x:v>
      </x:c>
      <x:c r="I38" s="8" t="str"/>
      <x:c r="J38" s="8" t="str">
        <x:v>apps/api/app/l2_domain.py:22</x:v>
      </x:c>
      <x:c r="K38" s="9"/>
      <x:c r="L38" s="9"/>
      <x:c r="M38" s="9"/>
      <x:c r="N38" s="9"/>
    </x:row>
    <x:row r="39" ht="78" customHeight="1">
      <x:c r="A39" s="5" t="str">
        <x:v>L2.layout-confirm</x:v>
      </x:c>
      <x:c r="B39" s="5" t="str">
        <x:v>L2</x:v>
      </x:c>
      <x:c r="C39" s="5" t="str">
        <x:v>layout-confirm</x:v>
      </x:c>
      <x:c r="D39" s="5" t="str">
        <x:v>服务器动作</x:v>
      </x:c>
      <x:c r="E39" s="5" t="str">
        <x:v>{"type":"layout-confirm"}</x:v>
      </x:c>
      <x:c r="F39" s="5" t="str">
        <x:v>exitDoorOpen=true；保存confirmed/baseline/classification</x:v>
      </x:c>
      <x:c r="G39" s="5" t="str">
        <x:v>32:43</x:v>
      </x:c>
      <x:c r="H39" s="5" t="str">
        <x:v>需按V6.2节点终态归并</x:v>
      </x:c>
      <x:c r="I39" s="5" t="str">
        <x:v>本地v2任意确认开出口；GitHub v1仅tidy确认开出口；当前分类不是V6.2分位</x:v>
      </x:c>
      <x:c r="J39" s="5" t="str">
        <x:v>apps/api/app/l2_domain.py:22</x:v>
      </x:c>
      <x:c r="K39" s="9"/>
      <x:c r="L39" s="9"/>
      <x:c r="M39" s="9"/>
      <x:c r="N39" s="9"/>
    </x:row>
    <x:row r="40" ht="78" customHeight="1">
      <x:c r="A40" s="8" t="str">
        <x:v>L2.layout-undo</x:v>
      </x:c>
      <x:c r="B40" s="8" t="str">
        <x:v>L2</x:v>
      </x:c>
      <x:c r="C40" s="8" t="str">
        <x:v>layout-undo</x:v>
      </x:c>
      <x:c r="D40" s="8" t="str">
        <x:v>服务器动作</x:v>
      </x:c>
      <x:c r="E40" s="8" t="str">
        <x:v>{"type":"layout-undo"}</x:v>
      </x:c>
      <x:c r="F40" s="8" t="str">
        <x:v>从history回退layout</x:v>
      </x:c>
      <x:c r="G40" s="8" t="str">
        <x:v>32:43</x:v>
      </x:c>
      <x:c r="H40" s="8" t="str">
        <x:v>需按V6.2节点终态归并</x:v>
      </x:c>
      <x:c r="I40" s="8" t="str"/>
      <x:c r="J40" s="8" t="str">
        <x:v>apps/api/app/l2_domain.py:22</x:v>
      </x:c>
      <x:c r="K40" s="9"/>
      <x:c r="L40" s="9"/>
      <x:c r="M40" s="9"/>
      <x:c r="N40" s="9"/>
    </x:row>
    <x:row r="41" ht="78" customHeight="1">
      <x:c r="A41" s="5" t="str">
        <x:v>L2.layout-reset</x:v>
      </x:c>
      <x:c r="B41" s="5" t="str">
        <x:v>L2</x:v>
      </x:c>
      <x:c r="C41" s="5" t="str">
        <x:v>layout-reset</x:v>
      </x:c>
      <x:c r="D41" s="5" t="str">
        <x:v>服务器动作</x:v>
      </x:c>
      <x:c r="E41" s="5" t="str">
        <x:v>{"type":"layout-reset"}</x:v>
      </x:c>
      <x:c r="F41" s="5" t="str">
        <x:v>layout回初始；原布局入history</x:v>
      </x:c>
      <x:c r="G41" s="5" t="str">
        <x:v>32:43</x:v>
      </x:c>
      <x:c r="H41" s="5" t="str">
        <x:v>需按V6.2节点终态归并</x:v>
      </x:c>
      <x:c r="I41" s="5" t="str"/>
      <x:c r="J41" s="5" t="str">
        <x:v>apps/api/app/l2_domain.py:22</x:v>
      </x:c>
      <x:c r="K41" s="9"/>
      <x:c r="L41" s="9"/>
      <x:c r="M41" s="9"/>
      <x:c r="N41" s="9"/>
    </x:row>
    <x:row r="42" ht="78" customHeight="1">
      <x:c r="A42" s="8" t="str">
        <x:v>L2.explore.true</x:v>
      </x:c>
      <x:c r="B42" s="8" t="str">
        <x:v>L2</x:v>
      </x:c>
      <x:c r="C42" s="8" t="str">
        <x:v>explore：是</x:v>
      </x:c>
      <x:c r="D42" s="8" t="str">
        <x:v>服务器动作</x:v>
      </x:c>
      <x:c r="E42" s="8" t="str">
        <x:v>{"type":"explore","yes":true}</x:v>
      </x:c>
      <x:c r="F42" s="8" t="str">
        <x:v>explore更改view；search-choice设置searching/declined并重置activeMs</x:v>
      </x:c>
      <x:c r="G42" s="8" t="str">
        <x:v>24:28</x:v>
      </x:c>
      <x:c r="H42" s="8" t="str">
        <x:v>需按V6.2节点终态归并</x:v>
      </x:c>
      <x:c r="I42" s="8" t="str">
        <x:v>拒绝后可重选，节点截止未定义</x:v>
      </x:c>
      <x:c r="J42" s="8" t="str">
        <x:v>apps/api/app/l2_domain.py:22</x:v>
      </x:c>
      <x:c r="K42" s="9"/>
      <x:c r="L42" s="9"/>
      <x:c r="M42" s="9"/>
      <x:c r="N42" s="9"/>
    </x:row>
    <x:row r="43" ht="78" customHeight="1">
      <x:c r="A43" s="5" t="str">
        <x:v>L2.explore.false</x:v>
      </x:c>
      <x:c r="B43" s="5" t="str">
        <x:v>L2</x:v>
      </x:c>
      <x:c r="C43" s="5" t="str">
        <x:v>explore：否</x:v>
      </x:c>
      <x:c r="D43" s="5" t="str">
        <x:v>服务器动作</x:v>
      </x:c>
      <x:c r="E43" s="5" t="str">
        <x:v>{"type":"explore","yes":false}</x:v>
      </x:c>
      <x:c r="F43" s="5" t="str">
        <x:v>explore更改view；search-choice设置searching/declined并重置activeMs</x:v>
      </x:c>
      <x:c r="G43" s="5" t="str">
        <x:v>24:28</x:v>
      </x:c>
      <x:c r="H43" s="5" t="str">
        <x:v>需按V6.2节点终态归并</x:v>
      </x:c>
      <x:c r="I43" s="5" t="str">
        <x:v>拒绝后可重选，节点截止未定义</x:v>
      </x:c>
      <x:c r="J43" s="5" t="str">
        <x:v>apps/api/app/l2_domain.py:22</x:v>
      </x:c>
      <x:c r="K43" s="9"/>
      <x:c r="L43" s="9"/>
      <x:c r="M43" s="9"/>
      <x:c r="N43" s="9"/>
    </x:row>
    <x:row r="44" ht="78" customHeight="1">
      <x:c r="A44" s="8" t="str">
        <x:v>L2.search-choice.true</x:v>
      </x:c>
      <x:c r="B44" s="8" t="str">
        <x:v>L2</x:v>
      </x:c>
      <x:c r="C44" s="8" t="str">
        <x:v>search-choice：是</x:v>
      </x:c>
      <x:c r="D44" s="8" t="str">
        <x:v>服务器动作</x:v>
      </x:c>
      <x:c r="E44" s="8" t="str">
        <x:v>{"type":"search-choice","yes":true}</x:v>
      </x:c>
      <x:c r="F44" s="8" t="str">
        <x:v>explore更改view；search-choice设置searching/declined并重置activeMs</x:v>
      </x:c>
      <x:c r="G44" s="8" t="str">
        <x:v>29:31</x:v>
      </x:c>
      <x:c r="H44" s="8" t="str">
        <x:v>需按V6.2节点终态归并</x:v>
      </x:c>
      <x:c r="I44" s="8" t="str">
        <x:v>拒绝后可重选，节点截止未定义</x:v>
      </x:c>
      <x:c r="J44" s="8" t="str">
        <x:v>apps/api/app/l2_domain.py:22</x:v>
      </x:c>
      <x:c r="K44" s="9"/>
      <x:c r="L44" s="9"/>
      <x:c r="M44" s="9"/>
      <x:c r="N44" s="9"/>
    </x:row>
    <x:row r="45" ht="78" customHeight="1">
      <x:c r="A45" s="5" t="str">
        <x:v>L2.search-choice.false</x:v>
      </x:c>
      <x:c r="B45" s="5" t="str">
        <x:v>L2</x:v>
      </x:c>
      <x:c r="C45" s="5" t="str">
        <x:v>search-choice：否</x:v>
      </x:c>
      <x:c r="D45" s="5" t="str">
        <x:v>服务器动作</x:v>
      </x:c>
      <x:c r="E45" s="5" t="str">
        <x:v>{"type":"search-choice","yes":false}</x:v>
      </x:c>
      <x:c r="F45" s="5" t="str">
        <x:v>explore更改view；search-choice设置searching/declined并重置activeMs</x:v>
      </x:c>
      <x:c r="G45" s="5" t="str">
        <x:v>29:31</x:v>
      </x:c>
      <x:c r="H45" s="5" t="str">
        <x:v>需按V6.2节点终态归并</x:v>
      </x:c>
      <x:c r="I45" s="5" t="str">
        <x:v>拒绝后可重选，节点截止未定义</x:v>
      </x:c>
      <x:c r="J45" s="5" t="str">
        <x:v>apps/api/app/l2_domain.py:22</x:v>
      </x:c>
      <x:c r="K45" s="9"/>
      <x:c r="L45" s="9"/>
      <x:c r="M45" s="9"/>
      <x:c r="N45" s="9"/>
    </x:row>
    <x:row r="46" ht="78" customHeight="1">
      <x:c r="A46" s="8" t="str">
        <x:v>L2.sit.chair.true</x:v>
      </x:c>
      <x:c r="B46" s="8" t="str">
        <x:v>L2</x:v>
      </x:c>
      <x:c r="C46" s="8" t="str">
        <x:v>窗边椅坐下</x:v>
      </x:c>
      <x:c r="D46" s="8" t="str">
        <x:v>服务器动作</x:v>
      </x:c>
      <x:c r="E46" s="8" t="str">
        <x:v>{"type":"sit","seat":"chair","yes":true}</x:v>
      </x:c>
      <x:c r="F46" s="8" t="str">
        <x:v>yes设置seat；table-seat额外atTable=true,view=table；no保持</x:v>
      </x:c>
      <x:c r="G46" s="8" t="str">
        <x:v>17:19</x:v>
      </x:c>
      <x:c r="H46" s="8" t="str">
        <x:v>需按V6.2节点终态归并</x:v>
      </x:c>
      <x:c r="I46" s="8" t="str">
        <x:v>桌前椅与表中中心椅需确认；支持换座</x:v>
      </x:c>
      <x:c r="J46" s="8" t="str">
        <x:v>apps/api/app/l2_domain.py:22</x:v>
      </x:c>
      <x:c r="K46" s="9"/>
      <x:c r="L46" s="9"/>
      <x:c r="M46" s="9"/>
      <x:c r="N46" s="9"/>
    </x:row>
    <x:row r="47" ht="78" customHeight="1">
      <x:c r="A47" s="5" t="str">
        <x:v>L2.sit.chair.false</x:v>
      </x:c>
      <x:c r="B47" s="5" t="str">
        <x:v>L2</x:v>
      </x:c>
      <x:c r="C47" s="5" t="str">
        <x:v>窗边椅不坐</x:v>
      </x:c>
      <x:c r="D47" s="5" t="str">
        <x:v>服务器动作</x:v>
      </x:c>
      <x:c r="E47" s="5" t="str">
        <x:v>{"type":"sit","seat":"chair","yes":false}</x:v>
      </x:c>
      <x:c r="F47" s="5" t="str">
        <x:v>yes设置seat；table-seat额外atTable=true,view=table；no保持</x:v>
      </x:c>
      <x:c r="G47" s="5" t="str">
        <x:v>17:19</x:v>
      </x:c>
      <x:c r="H47" s="5" t="str">
        <x:v>需按V6.2节点终态归并</x:v>
      </x:c>
      <x:c r="I47" s="5" t="str">
        <x:v>桌前椅与表中中心椅需确认；支持换座</x:v>
      </x:c>
      <x:c r="J47" s="5" t="str">
        <x:v>apps/api/app/l2_domain.py:22</x:v>
      </x:c>
      <x:c r="K47" s="9"/>
      <x:c r="L47" s="9"/>
      <x:c r="M47" s="9"/>
      <x:c r="N47" s="9"/>
    </x:row>
    <x:row r="48" ht="78" customHeight="1">
      <x:c r="A48" s="8" t="str">
        <x:v>L2.sit.table-seat.true</x:v>
      </x:c>
      <x:c r="B48" s="8" t="str">
        <x:v>L2</x:v>
      </x:c>
      <x:c r="C48" s="8" t="str">
        <x:v>桌前椅坐下</x:v>
      </x:c>
      <x:c r="D48" s="8" t="str">
        <x:v>服务器动作</x:v>
      </x:c>
      <x:c r="E48" s="8" t="str">
        <x:v>{"type":"sit","seat":"table-seat","yes":true}</x:v>
      </x:c>
      <x:c r="F48" s="8" t="str">
        <x:v>yes设置seat；table-seat额外atTable=true,view=table；no保持</x:v>
      </x:c>
      <x:c r="G48" s="8" t="str">
        <x:v>17:19</x:v>
      </x:c>
      <x:c r="H48" s="8" t="str">
        <x:v>需按V6.2节点终态归并</x:v>
      </x:c>
      <x:c r="I48" s="8" t="str">
        <x:v>桌前椅与表中中心椅需确认；支持换座</x:v>
      </x:c>
      <x:c r="J48" s="8" t="str">
        <x:v>apps/api/app/l2_domain.py:22</x:v>
      </x:c>
      <x:c r="K48" s="9"/>
      <x:c r="L48" s="9"/>
      <x:c r="M48" s="9"/>
      <x:c r="N48" s="9"/>
    </x:row>
    <x:row r="49" ht="78" customHeight="1">
      <x:c r="A49" s="5" t="str">
        <x:v>L2.sit.table-seat.false</x:v>
      </x:c>
      <x:c r="B49" s="5" t="str">
        <x:v>L2</x:v>
      </x:c>
      <x:c r="C49" s="5" t="str">
        <x:v>桌前椅不坐</x:v>
      </x:c>
      <x:c r="D49" s="5" t="str">
        <x:v>服务器动作</x:v>
      </x:c>
      <x:c r="E49" s="5" t="str">
        <x:v>{"type":"sit","seat":"table-seat","yes":false}</x:v>
      </x:c>
      <x:c r="F49" s="5" t="str">
        <x:v>yes设置seat；table-seat额外atTable=true,view=table；no保持</x:v>
      </x:c>
      <x:c r="G49" s="5" t="str">
        <x:v>17:19</x:v>
      </x:c>
      <x:c r="H49" s="5" t="str">
        <x:v>需按V6.2节点终态归并</x:v>
      </x:c>
      <x:c r="I49" s="5" t="str">
        <x:v>桌前椅与表中中心椅需确认；支持换座</x:v>
      </x:c>
      <x:c r="J49" s="5" t="str">
        <x:v>apps/api/app/l2_domain.py:22</x:v>
      </x:c>
      <x:c r="K49" s="9"/>
      <x:c r="L49" s="9"/>
      <x:c r="M49" s="9"/>
      <x:c r="N49" s="9"/>
    </x:row>
    <x:row r="50" ht="78" customHeight="1">
      <x:c r="A50" s="8" t="str">
        <x:v>L2.select-key.key-1</x:v>
      </x:c>
      <x:c r="B50" s="8" t="str">
        <x:v>L2</x:v>
      </x:c>
      <x:c r="C50" s="8" t="str">
        <x:v>select-key key-1</x:v>
      </x:c>
      <x:c r="D50" s="8" t="str">
        <x:v>服务器动作</x:v>
      </x:c>
      <x:c r="E50" s="8" t="str">
        <x:v>{"type":"select-key","key":"key-1"}</x:v>
      </x:c>
      <x:c r="F50" s="8" t="str">
        <x:v>select-key记录keys/selectedKey；try-door记录attempt,key,door_open，第一把失败第二把成功</x:v>
      </x:c>
      <x:c r="G50" s="8" t="str">
        <x:v>20:25</x:v>
      </x:c>
      <x:c r="H50" s="8" t="str">
        <x:v>需按V6.2节点终态归并</x:v>
      </x:c>
      <x:c r="I50" s="8" t="str">
        <x:v>keys不是比较次数；同一key不能重复试门</x:v>
      </x:c>
      <x:c r="J50" s="8" t="str">
        <x:v>apps/api/app/l2_domain.py:22</x:v>
      </x:c>
      <x:c r="K50" s="9"/>
      <x:c r="L50" s="9"/>
      <x:c r="M50" s="9"/>
      <x:c r="N50" s="9"/>
    </x:row>
    <x:row r="51" ht="78" customHeight="1">
      <x:c r="A51" s="5" t="str">
        <x:v>L2.select-key.key-2</x:v>
      </x:c>
      <x:c r="B51" s="5" t="str">
        <x:v>L2</x:v>
      </x:c>
      <x:c r="C51" s="5" t="str">
        <x:v>select-key key-2</x:v>
      </x:c>
      <x:c r="D51" s="5" t="str">
        <x:v>服务器动作</x:v>
      </x:c>
      <x:c r="E51" s="5" t="str">
        <x:v>{"type":"select-key","key":"key-2"}</x:v>
      </x:c>
      <x:c r="F51" s="5" t="str">
        <x:v>select-key记录keys/selectedKey；try-door记录attempt,key,door_open，第一把失败第二把成功</x:v>
      </x:c>
      <x:c r="G51" s="5" t="str">
        <x:v>20:25</x:v>
      </x:c>
      <x:c r="H51" s="5" t="str">
        <x:v>需按V6.2节点终态归并</x:v>
      </x:c>
      <x:c r="I51" s="5" t="str">
        <x:v>keys不是比较次数；同一key不能重复试门</x:v>
      </x:c>
      <x:c r="J51" s="5" t="str">
        <x:v>apps/api/app/l2_domain.py:22</x:v>
      </x:c>
      <x:c r="K51" s="9"/>
      <x:c r="L51" s="9"/>
      <x:c r="M51" s="9"/>
      <x:c r="N51" s="9"/>
    </x:row>
    <x:row r="52" ht="78" customHeight="1">
      <x:c r="A52" s="8" t="str">
        <x:v>L2.try-door.key-1</x:v>
      </x:c>
      <x:c r="B52" s="8" t="str">
        <x:v>L2</x:v>
      </x:c>
      <x:c r="C52" s="8" t="str">
        <x:v>try-door key-1</x:v>
      </x:c>
      <x:c r="D52" s="8" t="str">
        <x:v>服务器动作</x:v>
      </x:c>
      <x:c r="E52" s="8" t="str">
        <x:v>{"type":"try-door","key":"key-1"}</x:v>
      </x:c>
      <x:c r="F52" s="8" t="str">
        <x:v>select-key记录keys/selectedKey；try-door记录attempt,key,door_open，第一把失败第二把成功</x:v>
      </x:c>
      <x:c r="G52" s="8" t="str">
        <x:v>20:25</x:v>
      </x:c>
      <x:c r="H52" s="8" t="str">
        <x:v>需按V6.2节点终态归并</x:v>
      </x:c>
      <x:c r="I52" s="8" t="str">
        <x:v>keys不是比较次数；同一key不能重复试门</x:v>
      </x:c>
      <x:c r="J52" s="8" t="str">
        <x:v>apps/api/app/l2_domain.py:22</x:v>
      </x:c>
      <x:c r="K52" s="9"/>
      <x:c r="L52" s="9"/>
      <x:c r="M52" s="9"/>
      <x:c r="N52" s="9"/>
    </x:row>
    <x:row r="53" ht="78" customHeight="1">
      <x:c r="A53" s="5" t="str">
        <x:v>L2.try-door.key-2</x:v>
      </x:c>
      <x:c r="B53" s="5" t="str">
        <x:v>L2</x:v>
      </x:c>
      <x:c r="C53" s="5" t="str">
        <x:v>try-door key-2</x:v>
      </x:c>
      <x:c r="D53" s="5" t="str">
        <x:v>服务器动作</x:v>
      </x:c>
      <x:c r="E53" s="5" t="str">
        <x:v>{"type":"try-door","key":"key-2"}</x:v>
      </x:c>
      <x:c r="F53" s="5" t="str">
        <x:v>select-key记录keys/selectedKey；try-door记录attempt,key,door_open，第一把失败第二把成功</x:v>
      </x:c>
      <x:c r="G53" s="5" t="str">
        <x:v>20:25</x:v>
      </x:c>
      <x:c r="H53" s="5" t="str">
        <x:v>需按V6.2节点终态归并</x:v>
      </x:c>
      <x:c r="I53" s="5" t="str">
        <x:v>keys不是比较次数；同一key不能重复试门</x:v>
      </x:c>
      <x:c r="J53" s="5" t="str">
        <x:v>apps/api/app/l2_domain.py:22</x:v>
      </x:c>
      <x:c r="K53" s="9"/>
      <x:c r="L53" s="9"/>
      <x:c r="M53" s="9"/>
      <x:c r="N53" s="9"/>
    </x:row>
    <x:row r="54" ht="78" customHeight="1">
      <x:c r="A54" s="8" t="str">
        <x:v>L2.view.room</x:v>
      </x:c>
      <x:c r="B54" s="8" t="str">
        <x:v>L2</x:v>
      </x:c>
      <x:c r="C54" s="8" t="str">
        <x:v>切换视图 room</x:v>
      </x:c>
      <x:c r="D54" s="8" t="str">
        <x:v>服务器动作</x:v>
      </x:c>
      <x:c r="E54" s="8" t="str">
        <x:v>{"type":"view","view":"room"}</x:v>
      </x:c>
      <x:c r="F54" s="8" t="str">
        <x:v>outcome.view；进入table需要available</x:v>
      </x:c>
      <x:c r="G54" s="8" t="str"/>
      <x:c r="H54" s="8" t="str">
        <x:v>导航过程无独立分值</x:v>
      </x:c>
      <x:c r="I54" s="8" t="str"/>
      <x:c r="J54" s="8" t="str">
        <x:v>apps/api/app/l2_domain.py:22</x:v>
      </x:c>
      <x:c r="K54" s="9"/>
      <x:c r="L54" s="9"/>
      <x:c r="M54" s="9"/>
      <x:c r="N54" s="9"/>
    </x:row>
    <x:row r="55" ht="78" customHeight="1">
      <x:c r="A55" s="5" t="str">
        <x:v>L2.view.table</x:v>
      </x:c>
      <x:c r="B55" s="5" t="str">
        <x:v>L2</x:v>
      </x:c>
      <x:c r="C55" s="5" t="str">
        <x:v>切换视图 table</x:v>
      </x:c>
      <x:c r="D55" s="5" t="str">
        <x:v>服务器动作</x:v>
      </x:c>
      <x:c r="E55" s="5" t="str">
        <x:v>{"type":"view","view":"table"}</x:v>
      </x:c>
      <x:c r="F55" s="5" t="str">
        <x:v>outcome.view；进入table需要available</x:v>
      </x:c>
      <x:c r="G55" s="5" t="str"/>
      <x:c r="H55" s="5" t="str">
        <x:v>导航过程无独立分值</x:v>
      </x:c>
      <x:c r="I55" s="5" t="str"/>
      <x:c r="J55" s="5" t="str">
        <x:v>apps/api/app/l2_domain.py:22</x:v>
      </x:c>
      <x:c r="K55" s="9"/>
      <x:c r="L55" s="9"/>
      <x:c r="M55" s="9"/>
      <x:c r="N55" s="9"/>
    </x:row>
    <x:row r="56" ht="78" customHeight="1">
      <x:c r="A56" s="8" t="str">
        <x:v>L2.search-time</x:v>
      </x:c>
      <x:c r="B56" s="8" t="str">
        <x:v>L2</x:v>
      </x:c>
      <x:c r="C56" s="8" t="str">
        <x:v>上报搜寻活动时长</x:v>
      </x:c>
      <x:c r="D56" s="8" t="str">
        <x:v>服务器动作</x:v>
      </x:c>
      <x:c r="E56" s="8" t="str">
        <x:v>{"type":"search-time","activeMs":"&lt;累计毫秒&gt;"}</x:v>
      </x:c>
      <x:c r="F56" s="8" t="str">
        <x:v>activeMs/long；每次增量&lt;=10000；API墙钟上界+250ms；timing_verified=false</x:v>
      </x:c>
      <x:c r="G56" s="8" t="str">
        <x:v>30:31</x:v>
      </x:c>
      <x:c r="H56" s="8" t="str">
        <x:v>时长证据不足以证明真人持续注意；&gt;=与&gt;冲突</x:v>
      </x:c>
      <x:c r="I56" s="8" t="str"/>
      <x:c r="J56" s="8" t="str">
        <x:v>apps/api/app/l2_api.py:96</x:v>
      </x:c>
      <x:c r="K56" s="9"/>
      <x:c r="L56" s="9"/>
      <x:c r="M56" s="9"/>
      <x:c r="N56" s="9"/>
    </x:row>
    <x:row r="57" ht="78" customHeight="1">
      <x:c r="A57" s="5" t="str">
        <x:v>L2.layout-move.armchair</x:v>
      </x:c>
      <x:c r="B57" s="5" t="str">
        <x:v>L2</x:v>
      </x:c>
      <x:c r="C57" s="5" t="str">
        <x:v>移动家具 armchair</x:v>
      </x:c>
      <x:c r="D57" s="5" t="str">
        <x:v>服务器动作</x:v>
      </x:c>
      <x:c r="E57" s="5" t="str">
        <x:v>{"type":"layout-move","id":"armchair","point":{"u":"&lt;number&gt;","v":"&lt;number&gt;"}}</x:v>
      </x:c>
      <x:c r="F57" s="5" t="str">
        <x:v>服务器保存layout与history；确认时才做空间分类；移动可接受但布局未必reasonable</x:v>
      </x:c>
      <x:c r="G57" s="5" t="str">
        <x:v>32:43</x:v>
      </x:c>
      <x:c r="H57" s="5" t="str">
        <x:v>操作过程；可派生调整次数，但定义/四分位缺失</x:v>
      </x:c>
      <x:c r="I57" s="5" t="str">
        <x:v>4件家具；坐标[-4,4]；无朝向字段</x:v>
      </x:c>
      <x:c r="J57" s="5" t="str">
        <x:v>apps/api/app/l2_domain.py:22</x:v>
      </x:c>
      <x:c r="K57" s="9"/>
      <x:c r="L57" s="9"/>
      <x:c r="M57" s="9"/>
      <x:c r="N57" s="9"/>
    </x:row>
    <x:row r="58" ht="78" customHeight="1">
      <x:c r="A58" s="8" t="str">
        <x:v>L2.layout-move.chair</x:v>
      </x:c>
      <x:c r="B58" s="8" t="str">
        <x:v>L2</x:v>
      </x:c>
      <x:c r="C58" s="8" t="str">
        <x:v>移动家具 chair</x:v>
      </x:c>
      <x:c r="D58" s="8" t="str">
        <x:v>服务器动作</x:v>
      </x:c>
      <x:c r="E58" s="8" t="str">
        <x:v>{"type":"layout-move","id":"chair","point":{"u":"&lt;number&gt;","v":"&lt;number&gt;"}}</x:v>
      </x:c>
      <x:c r="F58" s="8" t="str">
        <x:v>服务器保存layout与history；确认时才做空间分类；移动可接受但布局未必reasonable</x:v>
      </x:c>
      <x:c r="G58" s="8" t="str">
        <x:v>32:43</x:v>
      </x:c>
      <x:c r="H58" s="8" t="str">
        <x:v>操作过程；可派生调整次数，但定义/四分位缺失</x:v>
      </x:c>
      <x:c r="I58" s="8" t="str">
        <x:v>4件家具；坐标[-4,4]；无朝向字段</x:v>
      </x:c>
      <x:c r="J58" s="8" t="str">
        <x:v>apps/api/app/l2_domain.py:22</x:v>
      </x:c>
      <x:c r="K58" s="9"/>
      <x:c r="L58" s="9"/>
      <x:c r="M58" s="9"/>
      <x:c r="N58" s="9"/>
    </x:row>
    <x:row r="59" ht="78" customHeight="1">
      <x:c r="A59" s="5" t="str">
        <x:v>L2.layout-move.sofa</x:v>
      </x:c>
      <x:c r="B59" s="5" t="str">
        <x:v>L2</x:v>
      </x:c>
      <x:c r="C59" s="5" t="str">
        <x:v>移动家具 sofa</x:v>
      </x:c>
      <x:c r="D59" s="5" t="str">
        <x:v>服务器动作</x:v>
      </x:c>
      <x:c r="E59" s="5" t="str">
        <x:v>{"type":"layout-move","id":"sofa","point":{"u":"&lt;number&gt;","v":"&lt;number&gt;"}}</x:v>
      </x:c>
      <x:c r="F59" s="5" t="str">
        <x:v>服务器保存layout与history；确认时才做空间分类；移动可接受但布局未必reasonable</x:v>
      </x:c>
      <x:c r="G59" s="5" t="str">
        <x:v>32:43</x:v>
      </x:c>
      <x:c r="H59" s="5" t="str">
        <x:v>操作过程；可派生调整次数，但定义/四分位缺失</x:v>
      </x:c>
      <x:c r="I59" s="5" t="str">
        <x:v>4件家具；坐标[-4,4]；无朝向字段</x:v>
      </x:c>
      <x:c r="J59" s="5" t="str">
        <x:v>apps/api/app/l2_domain.py:22</x:v>
      </x:c>
      <x:c r="K59" s="9"/>
      <x:c r="L59" s="9"/>
      <x:c r="M59" s="9"/>
      <x:c r="N59" s="9"/>
    </x:row>
    <x:row r="60" ht="78" customHeight="1">
      <x:c r="A60" s="8" t="str">
        <x:v>L2.layout-move.table-chair</x:v>
      </x:c>
      <x:c r="B60" s="8" t="str">
        <x:v>L2</x:v>
      </x:c>
      <x:c r="C60" s="8" t="str">
        <x:v>移动家具 table-chair</x:v>
      </x:c>
      <x:c r="D60" s="8" t="str">
        <x:v>服务器动作</x:v>
      </x:c>
      <x:c r="E60" s="8" t="str">
        <x:v>{"type":"layout-move","id":"table-chair","point":{"u":"&lt;number&gt;","v":"&lt;number&gt;"}}</x:v>
      </x:c>
      <x:c r="F60" s="8" t="str">
        <x:v>服务器保存layout与history；确认时才做空间分类；移动可接受但布局未必reasonable</x:v>
      </x:c>
      <x:c r="G60" s="8" t="str">
        <x:v>32:43</x:v>
      </x:c>
      <x:c r="H60" s="8" t="str">
        <x:v>操作过程；可派生调整次数，但定义/四分位缺失</x:v>
      </x:c>
      <x:c r="I60" s="8" t="str">
        <x:v>4件家具；坐标[-4,4]；无朝向字段</x:v>
      </x:c>
      <x:c r="J60" s="8" t="str">
        <x:v>apps/api/app/l2_domain.py:22</x:v>
      </x:c>
      <x:c r="K60" s="9"/>
      <x:c r="L60" s="9"/>
      <x:c r="M60" s="9"/>
      <x:c r="N60" s="9"/>
    </x:row>
    <x:row r="61" ht="78" customHeight="1">
      <x:c r="A61" s="5" t="str">
        <x:v>L3.decision.open.true</x:v>
      </x:c>
      <x:c r="B61" s="5" t="str">
        <x:v>L3</x:v>
      </x:c>
      <x:c r="C61" s="5" t="str">
        <x:v>open：是</x:v>
      </x:c>
      <x:c r="D61" s="5" t="str">
        <x:v>服务器动作</x:v>
      </x:c>
      <x:c r="E61" s="5" t="str">
        <x:v>{"type":"decision","slot":"open","yes":true}</x:v>
      </x:c>
      <x:c r="F61" s="5" t="str">
        <x:v>outcome.choices.open；六项均回答后segment=carry</x:v>
      </x:c>
      <x:c r="G61" s="5" t="str">
        <x:v>44:46</x:v>
      </x:c>
      <x:c r="H61" s="5" t="str">
        <x:v>需按V6.2节点终态归并</x:v>
      </x:c>
      <x:c r="I61" s="5" t="str">
        <x:v>重复false新ID为accepted但state_changed=false；true锁定，false可改true；电视不等于风扇</x:v>
      </x:c>
      <x:c r="J61" s="5" t="str">
        <x:v>apps/api/app/l3_domain.py:16</x:v>
      </x:c>
      <x:c r="K61" s="9"/>
      <x:c r="L61" s="9"/>
      <x:c r="M61" s="9"/>
      <x:c r="N61" s="9"/>
    </x:row>
    <x:row r="62" ht="78" customHeight="1">
      <x:c r="A62" s="8" t="str">
        <x:v>L3.decision.open.false</x:v>
      </x:c>
      <x:c r="B62" s="8" t="str">
        <x:v>L3</x:v>
      </x:c>
      <x:c r="C62" s="8" t="str">
        <x:v>open：否</x:v>
      </x:c>
      <x:c r="D62" s="8" t="str">
        <x:v>服务器动作</x:v>
      </x:c>
      <x:c r="E62" s="8" t="str">
        <x:v>{"type":"decision","slot":"open","yes":false}</x:v>
      </x:c>
      <x:c r="F62" s="8" t="str">
        <x:v>outcome.choices.open；六项均回答后segment=carry</x:v>
      </x:c>
      <x:c r="G62" s="8" t="str">
        <x:v>44:46</x:v>
      </x:c>
      <x:c r="H62" s="8" t="str">
        <x:v>需按V6.2节点终态归并</x:v>
      </x:c>
      <x:c r="I62" s="8" t="str">
        <x:v>重复false新ID为accepted但state_changed=false；true锁定，false可改true；电视不等于风扇</x:v>
      </x:c>
      <x:c r="J62" s="8" t="str">
        <x:v>apps/api/app/l3_domain.py:16</x:v>
      </x:c>
      <x:c r="K62" s="9"/>
      <x:c r="L62" s="9"/>
      <x:c r="M62" s="9"/>
      <x:c r="N62" s="9"/>
    </x:row>
    <x:row r="63" ht="78" customHeight="1">
      <x:c r="A63" s="5" t="str">
        <x:v>L3.decision.close.true</x:v>
      </x:c>
      <x:c r="B63" s="5" t="str">
        <x:v>L3</x:v>
      </x:c>
      <x:c r="C63" s="5" t="str">
        <x:v>close：是</x:v>
      </x:c>
      <x:c r="D63" s="5" t="str">
        <x:v>服务器动作</x:v>
      </x:c>
      <x:c r="E63" s="5" t="str">
        <x:v>{"type":"decision","slot":"close","yes":true}</x:v>
      </x:c>
      <x:c r="F63" s="5" t="str">
        <x:v>outcome.choices.close；六项均回答后segment=carry</x:v>
      </x:c>
      <x:c r="G63" s="5" t="str">
        <x:v>44:46</x:v>
      </x:c>
      <x:c r="H63" s="5" t="str">
        <x:v>需按V6.2节点终态归并</x:v>
      </x:c>
      <x:c r="I63" s="5" t="str">
        <x:v>重复false新ID为accepted但state_changed=false；true锁定，false可改true；电视不等于风扇</x:v>
      </x:c>
      <x:c r="J63" s="5" t="str">
        <x:v>apps/api/app/l3_domain.py:16</x:v>
      </x:c>
      <x:c r="K63" s="9"/>
      <x:c r="L63" s="9"/>
      <x:c r="M63" s="9"/>
      <x:c r="N63" s="9"/>
    </x:row>
    <x:row r="64" ht="78" customHeight="1">
      <x:c r="A64" s="8" t="str">
        <x:v>L3.decision.close.false</x:v>
      </x:c>
      <x:c r="B64" s="8" t="str">
        <x:v>L3</x:v>
      </x:c>
      <x:c r="C64" s="8" t="str">
        <x:v>close：否</x:v>
      </x:c>
      <x:c r="D64" s="8" t="str">
        <x:v>服务器动作</x:v>
      </x:c>
      <x:c r="E64" s="8" t="str">
        <x:v>{"type":"decision","slot":"close","yes":false}</x:v>
      </x:c>
      <x:c r="F64" s="8" t="str">
        <x:v>outcome.choices.close；六项均回答后segment=carry</x:v>
      </x:c>
      <x:c r="G64" s="8" t="str">
        <x:v>44:46</x:v>
      </x:c>
      <x:c r="H64" s="8" t="str">
        <x:v>需按V6.2节点终态归并</x:v>
      </x:c>
      <x:c r="I64" s="8" t="str">
        <x:v>重复false新ID为accepted但state_changed=false；true锁定，false可改true；电视不等于风扇</x:v>
      </x:c>
      <x:c r="J64" s="8" t="str">
        <x:v>apps/api/app/l3_domain.py:16</x:v>
      </x:c>
      <x:c r="K64" s="9"/>
      <x:c r="L64" s="9"/>
      <x:c r="M64" s="9"/>
      <x:c r="N64" s="9"/>
    </x:row>
    <x:row r="65" ht="78" customHeight="1">
      <x:c r="A65" s="5" t="str">
        <x:v>L3.decision.wait.true</x:v>
      </x:c>
      <x:c r="B65" s="5" t="str">
        <x:v>L3</x:v>
      </x:c>
      <x:c r="C65" s="5" t="str">
        <x:v>wait：是</x:v>
      </x:c>
      <x:c r="D65" s="5" t="str">
        <x:v>服务器动作</x:v>
      </x:c>
      <x:c r="E65" s="5" t="str">
        <x:v>{"type":"decision","slot":"wait","yes":true}</x:v>
      </x:c>
      <x:c r="F65" s="5" t="str">
        <x:v>outcome.choices.wait；六项均回答后segment=carry</x:v>
      </x:c>
      <x:c r="G65" s="5" t="str">
        <x:v>47:48</x:v>
      </x:c>
      <x:c r="H65" s="5" t="str">
        <x:v>需按V6.2节点终态归并</x:v>
      </x:c>
      <x:c r="I65" s="5" t="str">
        <x:v>重复false新ID为accepted但state_changed=false；true锁定，false可改true；电视不等于风扇</x:v>
      </x:c>
      <x:c r="J65" s="5" t="str">
        <x:v>apps/api/app/l3_domain.py:16</x:v>
      </x:c>
      <x:c r="K65" s="9"/>
      <x:c r="L65" s="9"/>
      <x:c r="M65" s="9"/>
      <x:c r="N65" s="9"/>
    </x:row>
    <x:row r="66" ht="78" customHeight="1">
      <x:c r="A66" s="8" t="str">
        <x:v>L3.decision.wait.false</x:v>
      </x:c>
      <x:c r="B66" s="8" t="str">
        <x:v>L3</x:v>
      </x:c>
      <x:c r="C66" s="8" t="str">
        <x:v>wait：否</x:v>
      </x:c>
      <x:c r="D66" s="8" t="str">
        <x:v>服务器动作</x:v>
      </x:c>
      <x:c r="E66" s="8" t="str">
        <x:v>{"type":"decision","slot":"wait","yes":false}</x:v>
      </x:c>
      <x:c r="F66" s="8" t="str">
        <x:v>outcome.choices.wait；六项均回答后segment=carry</x:v>
      </x:c>
      <x:c r="G66" s="8" t="str">
        <x:v>47:48</x:v>
      </x:c>
      <x:c r="H66" s="8" t="str">
        <x:v>需按V6.2节点终态归并</x:v>
      </x:c>
      <x:c r="I66" s="8" t="str">
        <x:v>重复false新ID为accepted但state_changed=false；true锁定，false可改true；电视不等于风扇</x:v>
      </x:c>
      <x:c r="J66" s="8" t="str">
        <x:v>apps/api/app/l3_domain.py:16</x:v>
      </x:c>
      <x:c r="K66" s="9"/>
      <x:c r="L66" s="9"/>
      <x:c r="M66" s="9"/>
      <x:c r="N66" s="9"/>
    </x:row>
    <x:row r="67" ht="78" customHeight="1">
      <x:c r="A67" s="5" t="str">
        <x:v>L3.decision.curtain.true</x:v>
      </x:c>
      <x:c r="B67" s="5" t="str">
        <x:v>L3</x:v>
      </x:c>
      <x:c r="C67" s="5" t="str">
        <x:v>curtain：是</x:v>
      </x:c>
      <x:c r="D67" s="5" t="str">
        <x:v>服务器动作</x:v>
      </x:c>
      <x:c r="E67" s="5" t="str">
        <x:v>{"type":"decision","slot":"curtain","yes":true}</x:v>
      </x:c>
      <x:c r="F67" s="5" t="str">
        <x:v>outcome.choices.curtain；六项均回答后segment=carry</x:v>
      </x:c>
      <x:c r="G67" s="5" t="str">
        <x:v>49:50</x:v>
      </x:c>
      <x:c r="H67" s="5" t="str">
        <x:v>需按V6.2节点终态归并</x:v>
      </x:c>
      <x:c r="I67" s="5" t="str">
        <x:v>重复false新ID为accepted但state_changed=false；true锁定，false可改true；电视不等于风扇</x:v>
      </x:c>
      <x:c r="J67" s="5" t="str">
        <x:v>apps/api/app/l3_domain.py:16</x:v>
      </x:c>
      <x:c r="K67" s="9"/>
      <x:c r="L67" s="9"/>
      <x:c r="M67" s="9"/>
      <x:c r="N67" s="9"/>
    </x:row>
    <x:row r="68" ht="78" customHeight="1">
      <x:c r="A68" s="8" t="str">
        <x:v>L3.decision.curtain.false</x:v>
      </x:c>
      <x:c r="B68" s="8" t="str">
        <x:v>L3</x:v>
      </x:c>
      <x:c r="C68" s="8" t="str">
        <x:v>curtain：否</x:v>
      </x:c>
      <x:c r="D68" s="8" t="str">
        <x:v>服务器动作</x:v>
      </x:c>
      <x:c r="E68" s="8" t="str">
        <x:v>{"type":"decision","slot":"curtain","yes":false}</x:v>
      </x:c>
      <x:c r="F68" s="8" t="str">
        <x:v>outcome.choices.curtain；六项均回答后segment=carry</x:v>
      </x:c>
      <x:c r="G68" s="8" t="str">
        <x:v>49:50</x:v>
      </x:c>
      <x:c r="H68" s="8" t="str">
        <x:v>需按V6.2节点终态归并</x:v>
      </x:c>
      <x:c r="I68" s="8" t="str">
        <x:v>重复false新ID为accepted但state_changed=false；true锁定，false可改true；电视不等于风扇</x:v>
      </x:c>
      <x:c r="J68" s="8" t="str">
        <x:v>apps/api/app/l3_domain.py:16</x:v>
      </x:c>
      <x:c r="K68" s="9"/>
      <x:c r="L68" s="9"/>
      <x:c r="M68" s="9"/>
      <x:c r="N68" s="9"/>
    </x:row>
    <x:row r="69" ht="78" customHeight="1">
      <x:c r="A69" s="5" t="str">
        <x:v>L3.decision.window.true</x:v>
      </x:c>
      <x:c r="B69" s="5" t="str">
        <x:v>L3</x:v>
      </x:c>
      <x:c r="C69" s="5" t="str">
        <x:v>window：是</x:v>
      </x:c>
      <x:c r="D69" s="5" t="str">
        <x:v>服务器动作</x:v>
      </x:c>
      <x:c r="E69" s="5" t="str">
        <x:v>{"type":"decision","slot":"window","yes":true}</x:v>
      </x:c>
      <x:c r="F69" s="5" t="str">
        <x:v>outcome.choices.window；六项均回答后segment=carry</x:v>
      </x:c>
      <x:c r="G69" s="5" t="str">
        <x:v>51:54</x:v>
      </x:c>
      <x:c r="H69" s="5" t="str">
        <x:v>需按V6.2节点终态归并</x:v>
      </x:c>
      <x:c r="I69" s="5" t="str">
        <x:v>重复false新ID为accepted但state_changed=false；true锁定，false可改true；电视不等于风扇</x:v>
      </x:c>
      <x:c r="J69" s="5" t="str">
        <x:v>apps/api/app/l3_domain.py:16</x:v>
      </x:c>
      <x:c r="K69" s="9"/>
      <x:c r="L69" s="9"/>
      <x:c r="M69" s="9"/>
      <x:c r="N69" s="9"/>
    </x:row>
    <x:row r="70" ht="78" customHeight="1">
      <x:c r="A70" s="8" t="str">
        <x:v>L3.decision.window.false</x:v>
      </x:c>
      <x:c r="B70" s="8" t="str">
        <x:v>L3</x:v>
      </x:c>
      <x:c r="C70" s="8" t="str">
        <x:v>window：否</x:v>
      </x:c>
      <x:c r="D70" s="8" t="str">
        <x:v>服务器动作</x:v>
      </x:c>
      <x:c r="E70" s="8" t="str">
        <x:v>{"type":"decision","slot":"window","yes":false}</x:v>
      </x:c>
      <x:c r="F70" s="8" t="str">
        <x:v>outcome.choices.window；六项均回答后segment=carry</x:v>
      </x:c>
      <x:c r="G70" s="8" t="str">
        <x:v>51:54</x:v>
      </x:c>
      <x:c r="H70" s="8" t="str">
        <x:v>需按V6.2节点终态归并</x:v>
      </x:c>
      <x:c r="I70" s="8" t="str">
        <x:v>重复false新ID为accepted但state_changed=false；true锁定，false可改true；电视不等于风扇</x:v>
      </x:c>
      <x:c r="J70" s="8" t="str">
        <x:v>apps/api/app/l3_domain.py:16</x:v>
      </x:c>
      <x:c r="K70" s="9"/>
      <x:c r="L70" s="9"/>
      <x:c r="M70" s="9"/>
      <x:c r="N70" s="9"/>
    </x:row>
    <x:row r="71" ht="78" customHeight="1">
      <x:c r="A71" s="5" t="str">
        <x:v>L3.decision.television.true</x:v>
      </x:c>
      <x:c r="B71" s="5" t="str">
        <x:v>L3</x:v>
      </x:c>
      <x:c r="C71" s="5" t="str">
        <x:v>television：是</x:v>
      </x:c>
      <x:c r="D71" s="5" t="str">
        <x:v>服务器动作</x:v>
      </x:c>
      <x:c r="E71" s="5" t="str">
        <x:v>{"type":"decision","slot":"television","yes":true}</x:v>
      </x:c>
      <x:c r="F71" s="5" t="str">
        <x:v>outcome.choices.television；六项均回答后segment=carry</x:v>
      </x:c>
      <x:c r="G71" s="5" t="str">
        <x:v>51:54</x:v>
      </x:c>
      <x:c r="H71" s="5" t="str">
        <x:v>需按V6.2节点终态归并</x:v>
      </x:c>
      <x:c r="I71" s="5" t="str">
        <x:v>重复false新ID为accepted但state_changed=false；true锁定，false可改true；电视不等于风扇</x:v>
      </x:c>
      <x:c r="J71" s="5" t="str">
        <x:v>apps/api/app/l3_domain.py:16</x:v>
      </x:c>
      <x:c r="K71" s="9"/>
      <x:c r="L71" s="9"/>
      <x:c r="M71" s="9"/>
      <x:c r="N71" s="9"/>
    </x:row>
    <x:row r="72" ht="78" customHeight="1">
      <x:c r="A72" s="8" t="str">
        <x:v>L3.decision.television.false</x:v>
      </x:c>
      <x:c r="B72" s="8" t="str">
        <x:v>L3</x:v>
      </x:c>
      <x:c r="C72" s="8" t="str">
        <x:v>television：否</x:v>
      </x:c>
      <x:c r="D72" s="8" t="str">
        <x:v>服务器动作</x:v>
      </x:c>
      <x:c r="E72" s="8" t="str">
        <x:v>{"type":"decision","slot":"television","yes":false}</x:v>
      </x:c>
      <x:c r="F72" s="8" t="str">
        <x:v>outcome.choices.television；六项均回答后segment=carry</x:v>
      </x:c>
      <x:c r="G72" s="8" t="str">
        <x:v>51:54</x:v>
      </x:c>
      <x:c r="H72" s="8" t="str">
        <x:v>需按V6.2节点终态归并</x:v>
      </x:c>
      <x:c r="I72" s="8" t="str">
        <x:v>重复false新ID为accepted但state_changed=false；true锁定，false可改true；电视不等于风扇</x:v>
      </x:c>
      <x:c r="J72" s="8" t="str">
        <x:v>apps/api/app/l3_domain.py:16</x:v>
      </x:c>
      <x:c r="K72" s="9"/>
      <x:c r="L72" s="9"/>
      <x:c r="M72" s="9"/>
      <x:c r="N72" s="9"/>
    </x:row>
    <x:row r="73" ht="78" customHeight="1">
      <x:c r="A73" s="5" t="str">
        <x:v>L3.carry.true</x:v>
      </x:c>
      <x:c r="B73" s="5" t="str">
        <x:v>L3</x:v>
      </x:c>
      <x:c r="C73" s="5" t="str">
        <x:v>是否带物品：True</x:v>
      </x:c>
      <x:c r="D73" s="5" t="str">
        <x:v>服务器动作</x:v>
      </x:c>
      <x:c r="E73" s="5" t="str">
        <x:v>{"type":"carry","yes":true}</x:v>
      </x:c>
      <x:c r="F73" s="5" t="str">
        <x:v>carry=false直接complete,item=null；true等待draft/confirm</x:v>
      </x:c>
      <x:c r="G73" s="5" t="str">
        <x:v>55:63</x:v>
      </x:c>
      <x:c r="H73" s="5" t="str">
        <x:v>false全维NA；true本身不加基础分</x:v>
      </x:c>
      <x:c r="I73" s="5" t="str"/>
      <x:c r="J73" s="5" t="str">
        <x:v>apps/api/app/l3_domain.py:16</x:v>
      </x:c>
      <x:c r="K73" s="9"/>
      <x:c r="L73" s="9"/>
      <x:c r="M73" s="9"/>
      <x:c r="N73" s="9"/>
    </x:row>
    <x:row r="74" ht="78" customHeight="1">
      <x:c r="A74" s="8" t="str">
        <x:v>L3.carry.false</x:v>
      </x:c>
      <x:c r="B74" s="8" t="str">
        <x:v>L3</x:v>
      </x:c>
      <x:c r="C74" s="8" t="str">
        <x:v>是否带物品：False</x:v>
      </x:c>
      <x:c r="D74" s="8" t="str">
        <x:v>服务器动作</x:v>
      </x:c>
      <x:c r="E74" s="8" t="str">
        <x:v>{"type":"carry","yes":false}</x:v>
      </x:c>
      <x:c r="F74" s="8" t="str">
        <x:v>carry=false直接complete,item=null；true等待draft/confirm</x:v>
      </x:c>
      <x:c r="G74" s="8" t="str">
        <x:v>55:63</x:v>
      </x:c>
      <x:c r="H74" s="8" t="str">
        <x:v>false全维NA；true本身不加基础分</x:v>
      </x:c>
      <x:c r="I74" s="8" t="str"/>
      <x:c r="J74" s="8" t="str">
        <x:v>apps/api/app/l3_domain.py:16</x:v>
      </x:c>
      <x:c r="K74" s="9"/>
      <x:c r="L74" s="9"/>
      <x:c r="M74" s="9"/>
      <x:c r="N74" s="9"/>
    </x:row>
    <x:row r="75" ht="78" customHeight="1">
      <x:c r="A75" s="5" t="str">
        <x:v>L3.draft.scarf</x:v>
      </x:c>
      <x:c r="B75" s="5" t="str">
        <x:v>L3</x:v>
      </x:c>
      <x:c r="C75" s="5" t="str">
        <x:v>暂选 scarf</x:v>
      </x:c>
      <x:c r="D75" s="5" t="str">
        <x:v>服务器动作</x:v>
      </x:c>
      <x:c r="E75" s="5" t="str">
        <x:v>{"type":"draft","item":"scarf"}</x:v>
      </x:c>
      <x:c r="F75" s="5" t="str">
        <x:v>outcome.draft更新；item仍未最终确认</x:v>
      </x:c>
      <x:c r="G75" s="5" t="str">
        <x:v>56</x:v>
      </x:c>
      <x:c r="H75" s="5" t="str">
        <x:v>草稿不计分</x:v>
      </x:c>
      <x:c r="I75" s="5" t="str"/>
      <x:c r="J75" s="5" t="str">
        <x:v>apps/api/app/l3_domain.py:16</x:v>
      </x:c>
      <x:c r="K75" s="9"/>
      <x:c r="L75" s="9"/>
      <x:c r="M75" s="9"/>
      <x:c r="N75" s="9"/>
    </x:row>
    <x:row r="76" ht="78" customHeight="1">
      <x:c r="A76" s="8" t="str">
        <x:v>L3.confirm.scarf</x:v>
      </x:c>
      <x:c r="B76" s="8" t="str">
        <x:v>L3</x:v>
      </x:c>
      <x:c r="C76" s="8" t="str">
        <x:v>最终带走 scarf</x:v>
      </x:c>
      <x:c r="D76" s="8" t="str">
        <x:v>服务器动作</x:v>
      </x:c>
      <x:c r="E76" s="8" t="str">
        <x:v>{"type":"confirm"}</x:v>
      </x:c>
      <x:c r="F76" s="8" t="str">
        <x:v>服务器取已存draft为item；completion=complete</x:v>
      </x:c>
      <x:c r="G76" s="8" t="str">
        <x:v>56</x:v>
      </x:c>
      <x:c r="H76" s="8" t="str">
        <x:v>按最终物品取一次V6.2向量</x:v>
      </x:c>
      <x:c r="I76" s="8" t="str">
        <x:v>confirm请求无item，不能绕过draft</x:v>
      </x:c>
      <x:c r="J76" s="8" t="str">
        <x:v>apps/api/app/l3_domain.py:16</x:v>
      </x:c>
      <x:c r="K76" s="9"/>
      <x:c r="L76" s="9"/>
      <x:c r="M76" s="9"/>
      <x:c r="N76" s="9"/>
    </x:row>
    <x:row r="77" ht="78" customHeight="1">
      <x:c r="A77" s="5" t="str">
        <x:v>L3.draft.lantern</x:v>
      </x:c>
      <x:c r="B77" s="5" t="str">
        <x:v>L3</x:v>
      </x:c>
      <x:c r="C77" s="5" t="str">
        <x:v>暂选 lantern</x:v>
      </x:c>
      <x:c r="D77" s="5" t="str">
        <x:v>服务器动作</x:v>
      </x:c>
      <x:c r="E77" s="5" t="str">
        <x:v>{"type":"draft","item":"lantern"}</x:v>
      </x:c>
      <x:c r="F77" s="5" t="str">
        <x:v>outcome.draft更新；item仍未最终确认</x:v>
      </x:c>
      <x:c r="G77" s="5" t="str">
        <x:v>57</x:v>
      </x:c>
      <x:c r="H77" s="5" t="str">
        <x:v>草稿不计分</x:v>
      </x:c>
      <x:c r="I77" s="5" t="str"/>
      <x:c r="J77" s="5" t="str">
        <x:v>apps/api/app/l3_domain.py:16</x:v>
      </x:c>
      <x:c r="K77" s="9"/>
      <x:c r="L77" s="9"/>
      <x:c r="M77" s="9"/>
      <x:c r="N77" s="9"/>
    </x:row>
    <x:row r="78" ht="78" customHeight="1">
      <x:c r="A78" s="8" t="str">
        <x:v>L3.confirm.lantern</x:v>
      </x:c>
      <x:c r="B78" s="8" t="str">
        <x:v>L3</x:v>
      </x:c>
      <x:c r="C78" s="8" t="str">
        <x:v>最终带走 lantern</x:v>
      </x:c>
      <x:c r="D78" s="8" t="str">
        <x:v>服务器动作</x:v>
      </x:c>
      <x:c r="E78" s="8" t="str">
        <x:v>{"type":"confirm"}</x:v>
      </x:c>
      <x:c r="F78" s="8" t="str">
        <x:v>服务器取已存draft为item；completion=complete</x:v>
      </x:c>
      <x:c r="G78" s="8" t="str">
        <x:v>57</x:v>
      </x:c>
      <x:c r="H78" s="8" t="str">
        <x:v>按最终物品取一次V6.2向量</x:v>
      </x:c>
      <x:c r="I78" s="8" t="str">
        <x:v>confirm请求无item，不能绕过draft</x:v>
      </x:c>
      <x:c r="J78" s="8" t="str">
        <x:v>apps/api/app/l3_domain.py:16</x:v>
      </x:c>
      <x:c r="K78" s="9"/>
      <x:c r="L78" s="9"/>
      <x:c r="M78" s="9"/>
      <x:c r="N78" s="9"/>
    </x:row>
    <x:row r="79" ht="78" customHeight="1">
      <x:c r="A79" s="5" t="str">
        <x:v>L3.draft.umbrella</x:v>
      </x:c>
      <x:c r="B79" s="5" t="str">
        <x:v>L3</x:v>
      </x:c>
      <x:c r="C79" s="5" t="str">
        <x:v>暂选 umbrella</x:v>
      </x:c>
      <x:c r="D79" s="5" t="str">
        <x:v>服务器动作</x:v>
      </x:c>
      <x:c r="E79" s="5" t="str">
        <x:v>{"type":"draft","item":"umbrella"}</x:v>
      </x:c>
      <x:c r="F79" s="5" t="str">
        <x:v>outcome.draft更新；item仍未最终确认</x:v>
      </x:c>
      <x:c r="G79" s="5" t="str">
        <x:v>58</x:v>
      </x:c>
      <x:c r="H79" s="5" t="str">
        <x:v>草稿不计分</x:v>
      </x:c>
      <x:c r="I79" s="5" t="str"/>
      <x:c r="J79" s="5" t="str">
        <x:v>apps/api/app/l3_domain.py:16</x:v>
      </x:c>
      <x:c r="K79" s="9"/>
      <x:c r="L79" s="9"/>
      <x:c r="M79" s="9"/>
      <x:c r="N79" s="9"/>
    </x:row>
    <x:row r="80" ht="78" customHeight="1">
      <x:c r="A80" s="8" t="str">
        <x:v>L3.confirm.umbrella</x:v>
      </x:c>
      <x:c r="B80" s="8" t="str">
        <x:v>L3</x:v>
      </x:c>
      <x:c r="C80" s="8" t="str">
        <x:v>最终带走 umbrella</x:v>
      </x:c>
      <x:c r="D80" s="8" t="str">
        <x:v>服务器动作</x:v>
      </x:c>
      <x:c r="E80" s="8" t="str">
        <x:v>{"type":"confirm"}</x:v>
      </x:c>
      <x:c r="F80" s="8" t="str">
        <x:v>服务器取已存draft为item；completion=complete</x:v>
      </x:c>
      <x:c r="G80" s="8" t="str">
        <x:v>58</x:v>
      </x:c>
      <x:c r="H80" s="8" t="str">
        <x:v>按最终物品取一次V6.2向量</x:v>
      </x:c>
      <x:c r="I80" s="8" t="str">
        <x:v>confirm请求无item，不能绕过draft</x:v>
      </x:c>
      <x:c r="J80" s="8" t="str">
        <x:v>apps/api/app/l3_domain.py:16</x:v>
      </x:c>
      <x:c r="K80" s="9"/>
      <x:c r="L80" s="9"/>
      <x:c r="M80" s="9"/>
      <x:c r="N80" s="9"/>
    </x:row>
    <x:row r="81" ht="78" customHeight="1">
      <x:c r="A81" s="5" t="str">
        <x:v>L3.draft.compass</x:v>
      </x:c>
      <x:c r="B81" s="5" t="str">
        <x:v>L3</x:v>
      </x:c>
      <x:c r="C81" s="5" t="str">
        <x:v>暂选 compass</x:v>
      </x:c>
      <x:c r="D81" s="5" t="str">
        <x:v>服务器动作</x:v>
      </x:c>
      <x:c r="E81" s="5" t="str">
        <x:v>{"type":"draft","item":"compass"}</x:v>
      </x:c>
      <x:c r="F81" s="5" t="str">
        <x:v>outcome.draft更新；item仍未最终确认</x:v>
      </x:c>
      <x:c r="G81" s="5" t="str">
        <x:v>59</x:v>
      </x:c>
      <x:c r="H81" s="5" t="str">
        <x:v>草稿不计分</x:v>
      </x:c>
      <x:c r="I81" s="5" t="str"/>
      <x:c r="J81" s="5" t="str">
        <x:v>apps/api/app/l3_domain.py:16</x:v>
      </x:c>
      <x:c r="K81" s="9"/>
      <x:c r="L81" s="9"/>
      <x:c r="M81" s="9"/>
      <x:c r="N81" s="9"/>
    </x:row>
    <x:row r="82" ht="78" customHeight="1">
      <x:c r="A82" s="8" t="str">
        <x:v>L3.confirm.compass</x:v>
      </x:c>
      <x:c r="B82" s="8" t="str">
        <x:v>L3</x:v>
      </x:c>
      <x:c r="C82" s="8" t="str">
        <x:v>最终带走 compass</x:v>
      </x:c>
      <x:c r="D82" s="8" t="str">
        <x:v>服务器动作</x:v>
      </x:c>
      <x:c r="E82" s="8" t="str">
        <x:v>{"type":"confirm"}</x:v>
      </x:c>
      <x:c r="F82" s="8" t="str">
        <x:v>服务器取已存draft为item；completion=complete</x:v>
      </x:c>
      <x:c r="G82" s="8" t="str">
        <x:v>59</x:v>
      </x:c>
      <x:c r="H82" s="8" t="str">
        <x:v>按最终物品取一次V6.2向量</x:v>
      </x:c>
      <x:c r="I82" s="8" t="str">
        <x:v>confirm请求无item，不能绕过draft</x:v>
      </x:c>
      <x:c r="J82" s="8" t="str">
        <x:v>apps/api/app/l3_domain.py:16</x:v>
      </x:c>
      <x:c r="K82" s="9"/>
      <x:c r="L82" s="9"/>
      <x:c r="M82" s="9"/>
      <x:c r="N82" s="9"/>
    </x:row>
    <x:row r="83" ht="78" customHeight="1">
      <x:c r="A83" s="5" t="str">
        <x:v>L3.draft.doll</x:v>
      </x:c>
      <x:c r="B83" s="5" t="str">
        <x:v>L3</x:v>
      </x:c>
      <x:c r="C83" s="5" t="str">
        <x:v>暂选 doll</x:v>
      </x:c>
      <x:c r="D83" s="5" t="str">
        <x:v>服务器动作</x:v>
      </x:c>
      <x:c r="E83" s="5" t="str">
        <x:v>{"type":"draft","item":"doll"}</x:v>
      </x:c>
      <x:c r="F83" s="5" t="str">
        <x:v>outcome.draft更新；item仍未最终确认</x:v>
      </x:c>
      <x:c r="G83" s="5" t="str">
        <x:v>60</x:v>
      </x:c>
      <x:c r="H83" s="5" t="str">
        <x:v>草稿不计分</x:v>
      </x:c>
      <x:c r="I83" s="5" t="str"/>
      <x:c r="J83" s="5" t="str">
        <x:v>apps/api/app/l3_domain.py:16</x:v>
      </x:c>
      <x:c r="K83" s="9"/>
      <x:c r="L83" s="9"/>
      <x:c r="M83" s="9"/>
      <x:c r="N83" s="9"/>
    </x:row>
    <x:row r="84" ht="78" customHeight="1">
      <x:c r="A84" s="8" t="str">
        <x:v>L3.confirm.doll</x:v>
      </x:c>
      <x:c r="B84" s="8" t="str">
        <x:v>L3</x:v>
      </x:c>
      <x:c r="C84" s="8" t="str">
        <x:v>最终带走 doll</x:v>
      </x:c>
      <x:c r="D84" s="8" t="str">
        <x:v>服务器动作</x:v>
      </x:c>
      <x:c r="E84" s="8" t="str">
        <x:v>{"type":"confirm"}</x:v>
      </x:c>
      <x:c r="F84" s="8" t="str">
        <x:v>服务器取已存draft为item；completion=complete</x:v>
      </x:c>
      <x:c r="G84" s="8" t="str">
        <x:v>60</x:v>
      </x:c>
      <x:c r="H84" s="8" t="str">
        <x:v>按最终物品取一次V6.2向量</x:v>
      </x:c>
      <x:c r="I84" s="8" t="str">
        <x:v>confirm请求无item，不能绕过draft</x:v>
      </x:c>
      <x:c r="J84" s="8" t="str">
        <x:v>apps/api/app/l3_domain.py:16</x:v>
      </x:c>
      <x:c r="K84" s="9"/>
      <x:c r="L84" s="9"/>
      <x:c r="M84" s="9"/>
      <x:c r="N84" s="9"/>
    </x:row>
    <x:row r="85" ht="78" customHeight="1">
      <x:c r="A85" s="5" t="str">
        <x:v>L3.draft.key</x:v>
      </x:c>
      <x:c r="B85" s="5" t="str">
        <x:v>L3</x:v>
      </x:c>
      <x:c r="C85" s="5" t="str">
        <x:v>暂选 key</x:v>
      </x:c>
      <x:c r="D85" s="5" t="str">
        <x:v>服务器动作</x:v>
      </x:c>
      <x:c r="E85" s="5" t="str">
        <x:v>{"type":"draft","item":"key"}</x:v>
      </x:c>
      <x:c r="F85" s="5" t="str">
        <x:v>outcome.draft更新；item仍未最终确认</x:v>
      </x:c>
      <x:c r="G85" s="5" t="str">
        <x:v>61</x:v>
      </x:c>
      <x:c r="H85" s="5" t="str">
        <x:v>草稿不计分</x:v>
      </x:c>
      <x:c r="I85" s="5" t="str"/>
      <x:c r="J85" s="5" t="str">
        <x:v>apps/api/app/l3_domain.py:16</x:v>
      </x:c>
      <x:c r="K85" s="9"/>
      <x:c r="L85" s="9"/>
      <x:c r="M85" s="9"/>
      <x:c r="N85" s="9"/>
    </x:row>
    <x:row r="86" ht="78" customHeight="1">
      <x:c r="A86" s="8" t="str">
        <x:v>L3.confirm.key</x:v>
      </x:c>
      <x:c r="B86" s="8" t="str">
        <x:v>L3</x:v>
      </x:c>
      <x:c r="C86" s="8" t="str">
        <x:v>最终带走 key</x:v>
      </x:c>
      <x:c r="D86" s="8" t="str">
        <x:v>服务器动作</x:v>
      </x:c>
      <x:c r="E86" s="8" t="str">
        <x:v>{"type":"confirm"}</x:v>
      </x:c>
      <x:c r="F86" s="8" t="str">
        <x:v>服务器取已存draft为item；completion=complete</x:v>
      </x:c>
      <x:c r="G86" s="8" t="str">
        <x:v>61</x:v>
      </x:c>
      <x:c r="H86" s="8" t="str">
        <x:v>按最终物品取一次V6.2向量</x:v>
      </x:c>
      <x:c r="I86" s="8" t="str">
        <x:v>confirm请求无item，不能绕过draft</x:v>
      </x:c>
      <x:c r="J86" s="8" t="str">
        <x:v>apps/api/app/l3_domain.py:16</x:v>
      </x:c>
      <x:c r="K86" s="9"/>
      <x:c r="L86" s="9"/>
      <x:c r="M86" s="9"/>
      <x:c r="N86" s="9"/>
    </x:row>
    <x:row r="87" ht="78" customHeight="1">
      <x:c r="A87" s="5" t="str">
        <x:v>L3.draft.journal</x:v>
      </x:c>
      <x:c r="B87" s="5" t="str">
        <x:v>L3</x:v>
      </x:c>
      <x:c r="C87" s="5" t="str">
        <x:v>暂选 journal</x:v>
      </x:c>
      <x:c r="D87" s="5" t="str">
        <x:v>服务器动作</x:v>
      </x:c>
      <x:c r="E87" s="5" t="str">
        <x:v>{"type":"draft","item":"journal"}</x:v>
      </x:c>
      <x:c r="F87" s="5" t="str">
        <x:v>outcome.draft更新；item仍未最终确认</x:v>
      </x:c>
      <x:c r="G87" s="5" t="str">
        <x:v>62</x:v>
      </x:c>
      <x:c r="H87" s="5" t="str">
        <x:v>草稿不计分</x:v>
      </x:c>
      <x:c r="I87" s="5" t="str"/>
      <x:c r="J87" s="5" t="str">
        <x:v>apps/api/app/l3_domain.py:16</x:v>
      </x:c>
      <x:c r="K87" s="9"/>
      <x:c r="L87" s="9"/>
      <x:c r="M87" s="9"/>
      <x:c r="N87" s="9"/>
    </x:row>
    <x:row r="88" ht="78" customHeight="1">
      <x:c r="A88" s="8" t="str">
        <x:v>L3.confirm.journal</x:v>
      </x:c>
      <x:c r="B88" s="8" t="str">
        <x:v>L3</x:v>
      </x:c>
      <x:c r="C88" s="8" t="str">
        <x:v>最终带走 journal</x:v>
      </x:c>
      <x:c r="D88" s="8" t="str">
        <x:v>服务器动作</x:v>
      </x:c>
      <x:c r="E88" s="8" t="str">
        <x:v>{"type":"confirm"}</x:v>
      </x:c>
      <x:c r="F88" s="8" t="str">
        <x:v>服务器取已存draft为item；completion=complete</x:v>
      </x:c>
      <x:c r="G88" s="8" t="str">
        <x:v>62</x:v>
      </x:c>
      <x:c r="H88" s="8" t="str">
        <x:v>按最终物品取一次V6.2向量</x:v>
      </x:c>
      <x:c r="I88" s="8" t="str">
        <x:v>confirm请求无item，不能绕过draft</x:v>
      </x:c>
      <x:c r="J88" s="8" t="str">
        <x:v>apps/api/app/l3_domain.py:16</x:v>
      </x:c>
      <x:c r="K88" s="9"/>
      <x:c r="L88" s="9"/>
      <x:c r="M88" s="9"/>
      <x:c r="N88" s="9"/>
    </x:row>
    <x:row r="89" ht="78" customHeight="1">
      <x:c r="A89" s="5" t="str">
        <x:v>L3.draft.rope</x:v>
      </x:c>
      <x:c r="B89" s="5" t="str">
        <x:v>L3</x:v>
      </x:c>
      <x:c r="C89" s="5" t="str">
        <x:v>暂选 rope</x:v>
      </x:c>
      <x:c r="D89" s="5" t="str">
        <x:v>服务器动作</x:v>
      </x:c>
      <x:c r="E89" s="5" t="str">
        <x:v>{"type":"draft","item":"rope"}</x:v>
      </x:c>
      <x:c r="F89" s="5" t="str">
        <x:v>outcome.draft更新；item仍未最终确认</x:v>
      </x:c>
      <x:c r="G89" s="5" t="str">
        <x:v>63</x:v>
      </x:c>
      <x:c r="H89" s="5" t="str">
        <x:v>草稿不计分</x:v>
      </x:c>
      <x:c r="I89" s="5" t="str"/>
      <x:c r="J89" s="5" t="str">
        <x:v>apps/api/app/l3_domain.py:16</x:v>
      </x:c>
      <x:c r="K89" s="9"/>
      <x:c r="L89" s="9"/>
      <x:c r="M89" s="9"/>
      <x:c r="N89" s="9"/>
    </x:row>
    <x:row r="90" ht="78" customHeight="1">
      <x:c r="A90" s="8" t="str">
        <x:v>L3.confirm.rope</x:v>
      </x:c>
      <x:c r="B90" s="8" t="str">
        <x:v>L3</x:v>
      </x:c>
      <x:c r="C90" s="8" t="str">
        <x:v>最终带走 rope</x:v>
      </x:c>
      <x:c r="D90" s="8" t="str">
        <x:v>服务器动作</x:v>
      </x:c>
      <x:c r="E90" s="8" t="str">
        <x:v>{"type":"confirm"}</x:v>
      </x:c>
      <x:c r="F90" s="8" t="str">
        <x:v>服务器取已存draft为item；completion=complete</x:v>
      </x:c>
      <x:c r="G90" s="8" t="str">
        <x:v>63</x:v>
      </x:c>
      <x:c r="H90" s="8" t="str">
        <x:v>按最终物品取一次V6.2向量</x:v>
      </x:c>
      <x:c r="I90" s="8" t="str">
        <x:v>confirm请求无item，不能绕过draft</x:v>
      </x:c>
      <x:c r="J90" s="8" t="str">
        <x:v>apps/api/app/l3_domain.py:16</x:v>
      </x:c>
      <x:c r="K90" s="9"/>
      <x:c r="L90" s="9"/>
      <x:c r="M90" s="9"/>
      <x:c r="N90" s="9"/>
    </x:row>
    <x:row r="91" ht="78" customHeight="1">
      <x:c r="A91" s="5" t="str">
        <x:v>L3.draft.backpack</x:v>
      </x:c>
      <x:c r="B91" s="5" t="str">
        <x:v>L3</x:v>
      </x:c>
      <x:c r="C91" s="5" t="str">
        <x:v>暂选 backpack</x:v>
      </x:c>
      <x:c r="D91" s="5" t="str">
        <x:v>服务器动作</x:v>
      </x:c>
      <x:c r="E91" s="5" t="str">
        <x:v>{"type":"draft","item":"backpack"}</x:v>
      </x:c>
      <x:c r="F91" s="5" t="str">
        <x:v>outcome.draft更新；item仍未最终确认</x:v>
      </x:c>
      <x:c r="G91" s="5" t="str"/>
      <x:c r="H91" s="5" t="str">
        <x:v>草稿不计分</x:v>
      </x:c>
      <x:c r="I91" s="5" t="str">
        <x:v>backpack背包不在V6.2表</x:v>
      </x:c>
      <x:c r="J91" s="5" t="str">
        <x:v>apps/api/app/l3_domain.py:16</x:v>
      </x:c>
      <x:c r="K91" s="9"/>
      <x:c r="L91" s="9"/>
      <x:c r="M91" s="9"/>
      <x:c r="N91" s="9"/>
    </x:row>
    <x:row r="92" ht="78" customHeight="1">
      <x:c r="A92" s="8" t="str">
        <x:v>L3.confirm.backpack</x:v>
      </x:c>
      <x:c r="B92" s="8" t="str">
        <x:v>L3</x:v>
      </x:c>
      <x:c r="C92" s="8" t="str">
        <x:v>最终带走 backpack</x:v>
      </x:c>
      <x:c r="D92" s="8" t="str">
        <x:v>服务器动作</x:v>
      </x:c>
      <x:c r="E92" s="8" t="str">
        <x:v>{"type":"confirm"}</x:v>
      </x:c>
      <x:c r="F92" s="8" t="str">
        <x:v>服务器取已存draft为item；completion=complete</x:v>
      </x:c>
      <x:c r="G92" s="8" t="str"/>
      <x:c r="H92" s="8" t="str">
        <x:v>缺失分值，待用户补充</x:v>
      </x:c>
      <x:c r="I92" s="8" t="str">
        <x:v>confirm请求无item，不能绕过draft</x:v>
      </x:c>
      <x:c r="J92" s="8" t="str">
        <x:v>apps/api/app/l3_domain.py:16</x:v>
      </x:c>
      <x:c r="K92" s="9"/>
      <x:c r="L92" s="9"/>
      <x:c r="M92" s="9"/>
      <x:c r="N92" s="9"/>
    </x:row>
    <x:row r="93" ht="78" customHeight="1">
      <x:c r="A93" s="5" t="str">
        <x:v>L4.confirm.village</x:v>
      </x:c>
      <x:c r="B93" s="5" t="str">
        <x:v>L4</x:v>
      </x:c>
      <x:c r="C93" s="5" t="str">
        <x:v>确认出口 village</x:v>
      </x:c>
      <x:c r="D93" s="5" t="str">
        <x:v>服务器动作</x:v>
      </x:c>
      <x:c r="E93" s="5" t="str">
        <x:v>{"type":"confirm","door":"village"}</x:v>
      </x:c>
      <x:c r="F93" s="5" t="str">
        <x:v>outcome.door/item/completion=complete；后续新动作拒绝</x:v>
      </x:c>
      <x:c r="G93" s="5" t="str">
        <x:v>64</x:v>
      </x:c>
      <x:c r="H93" s="5" t="str">
        <x:v>终态一次；T/F为NA</x:v>
      </x:c>
      <x:c r="I93" s="5" t="str">
        <x:v>门名及位置随机化未做；本地预览选择无服务器证据</x:v>
      </x:c>
      <x:c r="J93" s="5" t="str">
        <x:v>apps/api/app/l4_domain.py:13</x:v>
      </x:c>
      <x:c r="K93" s="9"/>
      <x:c r="L93" s="9"/>
      <x:c r="M93" s="9"/>
      <x:c r="N93" s="9"/>
    </x:row>
    <x:row r="94" ht="78" customHeight="1">
      <x:c r="A94" s="8" t="str">
        <x:v>L4.confirm.coast</x:v>
      </x:c>
      <x:c r="B94" s="8" t="str">
        <x:v>L4</x:v>
      </x:c>
      <x:c r="C94" s="8" t="str">
        <x:v>确认出口 coast</x:v>
      </x:c>
      <x:c r="D94" s="8" t="str">
        <x:v>服务器动作</x:v>
      </x:c>
      <x:c r="E94" s="8" t="str">
        <x:v>{"type":"confirm","door":"coast"}</x:v>
      </x:c>
      <x:c r="F94" s="8" t="str">
        <x:v>outcome.door/item/completion=complete；后续新动作拒绝</x:v>
      </x:c>
      <x:c r="G94" s="8" t="str">
        <x:v>65</x:v>
      </x:c>
      <x:c r="H94" s="8" t="str">
        <x:v>终态一次；T/F为NA</x:v>
      </x:c>
      <x:c r="I94" s="8" t="str">
        <x:v>门名及位置随机化未做；本地预览选择无服务器证据</x:v>
      </x:c>
      <x:c r="J94" s="8" t="str">
        <x:v>apps/api/app/l4_domain.py:13</x:v>
      </x:c>
      <x:c r="K94" s="9"/>
      <x:c r="L94" s="9"/>
      <x:c r="M94" s="9"/>
      <x:c r="N94" s="9"/>
    </x:row>
    <x:row r="95" ht="78" customHeight="1">
      <x:c r="A95" s="5" t="str">
        <x:v>L4.confirm.forest</x:v>
      </x:c>
      <x:c r="B95" s="5" t="str">
        <x:v>L4</x:v>
      </x:c>
      <x:c r="C95" s="5" t="str">
        <x:v>确认出口 forest</x:v>
      </x:c>
      <x:c r="D95" s="5" t="str">
        <x:v>服务器动作</x:v>
      </x:c>
      <x:c r="E95" s="5" t="str">
        <x:v>{"type":"confirm","door":"forest"}</x:v>
      </x:c>
      <x:c r="F95" s="5" t="str">
        <x:v>outcome.door/item/completion=complete；后续新动作拒绝</x:v>
      </x:c>
      <x:c r="G95" s="5" t="str">
        <x:v>66</x:v>
      </x:c>
      <x:c r="H95" s="5" t="str">
        <x:v>终态一次；T/F为NA</x:v>
      </x:c>
      <x:c r="I95" s="5" t="str">
        <x:v>门名及位置随机化未做；本地预览选择无服务器证据</x:v>
      </x:c>
      <x:c r="J95" s="5" t="str">
        <x:v>apps/api/app/l4_domain.py:13</x:v>
      </x:c>
      <x:c r="K95" s="9"/>
      <x:c r="L95" s="9"/>
      <x:c r="M95" s="9"/>
      <x:c r="N95" s="9"/>
    </x:row>
    <x:row r="96" ht="78" customHeight="1">
      <x:c r="A96" s="8" t="str">
        <x:v>L4.confirm.castle</x:v>
      </x:c>
      <x:c r="B96" s="8" t="str">
        <x:v>L4</x:v>
      </x:c>
      <x:c r="C96" s="8" t="str">
        <x:v>确认出口 castle</x:v>
      </x:c>
      <x:c r="D96" s="8" t="str">
        <x:v>服务器动作</x:v>
      </x:c>
      <x:c r="E96" s="8" t="str">
        <x:v>{"type":"confirm","door":"castle"}</x:v>
      </x:c>
      <x:c r="F96" s="8" t="str">
        <x:v>outcome.door/item/completion=complete；后续新动作拒绝</x:v>
      </x:c>
      <x:c r="G96" s="8" t="str">
        <x:v>67</x:v>
      </x:c>
      <x:c r="H96" s="8" t="str">
        <x:v>终态一次；T/F为NA</x:v>
      </x:c>
      <x:c r="I96" s="8" t="str">
        <x:v>门名及位置随机化未做；本地预览选择无服务器证据</x:v>
      </x:c>
      <x:c r="J96" s="8" t="str">
        <x:v>apps/api/app/l4_domain.py:13</x:v>
      </x:c>
      <x:c r="K96" s="9"/>
      <x:c r="L96" s="9"/>
      <x:c r="M96" s="9"/>
      <x:c r="N96" s="9"/>
    </x:row>
    <x:row r="97" ht="78" customHeight="1">
      <x:c r="A97" s="5" t="str">
        <x:v>L1.meta.object-open</x:v>
      </x:c>
      <x:c r="B97" s="5" t="str">
        <x:v>L1</x:v>
      </x:c>
      <x:c r="C97" s="5" t="str">
        <x:v>object-open</x:v>
      </x:c>
      <x:c r="D97" s="5" t="str">
        <x:v>系统/前端边界</x:v>
      </x:c>
      <x:c r="E97" s="5" t="str">
        <x:v>{}</x:v>
      </x:c>
      <x:c r="F97" s="5" t="str">
        <x:v>查看人物/道具、关提示、拖动物品摆放（未触发业务动作）不进事件表</x:v>
      </x:c>
      <x:c r="G97" s="5" t="str"/>
      <x:c r="H97" s="5" t="str">
        <x:v>非计分动作</x:v>
      </x:c>
      <x:c r="I97" s="5" t="str"/>
      <x:c r="J97" s="5" t="str">
        <x:v>apps/api/app/main.py:111</x:v>
      </x:c>
      <x:c r="K97" s="9"/>
      <x:c r="L97" s="9"/>
      <x:c r="M97" s="9"/>
      <x:c r="N97" s="9"/>
    </x:row>
    <x:row r="98" ht="78" customHeight="1">
      <x:c r="A98" s="8" t="str">
        <x:v>L1.meta.restart</x:v>
      </x:c>
      <x:c r="B98" s="8" t="str">
        <x:v>L1</x:v>
      </x:c>
      <x:c r="C98" s="8" t="str">
        <x:v>restart</x:v>
      </x:c>
      <x:c r="D98" s="8" t="str">
        <x:v>系统/前端边界</x:v>
      </x:c>
      <x:c r="E98" s="8" t="str">
        <x:v>{}</x:v>
      </x:c>
      <x:c r="F98" s="8" t="str">
        <x:v>POST sessions创建新旅程，旧会话保留，不是一次拒绝</x:v>
      </x:c>
      <x:c r="G98" s="8" t="str"/>
      <x:c r="H98" s="8" t="str">
        <x:v>非计分动作</x:v>
      </x:c>
      <x:c r="I98" s="8" t="str"/>
      <x:c r="J98" s="8" t="str">
        <x:v>apps/api/app/main.py:111</x:v>
      </x:c>
      <x:c r="K98" s="9"/>
      <x:c r="L98" s="9"/>
      <x:c r="M98" s="9"/>
      <x:c r="N98" s="9"/>
    </x:row>
    <x:row r="99" ht="78" customHeight="1">
      <x:c r="A99" s="5" t="str">
        <x:v>L2.meta.start</x:v>
      </x:c>
      <x:c r="B99" s="5" t="str">
        <x:v>L2</x:v>
      </x:c>
      <x:c r="C99" s="5" t="str">
        <x:v>start</x:v>
      </x:c>
      <x:c r="D99" s="5" t="str">
        <x:v>系统/前端边界</x:v>
      </x:c>
      <x:c r="E99" s="5" t="str">
        <x:v>{}</x:v>
      </x:c>
      <x:c r="F99" s="5" t="str">
        <x:v>POST levels/l2幂等建run，不写业务事件；要求L1完成</x:v>
      </x:c>
      <x:c r="G99" s="5" t="str"/>
      <x:c r="H99" s="5" t="str">
        <x:v>非计分动作</x:v>
      </x:c>
      <x:c r="I99" s="5" t="str"/>
      <x:c r="J99" s="5" t="str">
        <x:v>apps/api/app/l2_api.py:96</x:v>
      </x:c>
      <x:c r="K99" s="9"/>
      <x:c r="L99" s="9"/>
      <x:c r="M99" s="9"/>
      <x:c r="N99" s="9"/>
    </x:row>
    <x:row r="100" ht="78" customHeight="1">
      <x:c r="A100" s="8" t="str">
        <x:v>L3.meta.start</x:v>
      </x:c>
      <x:c r="B100" s="8" t="str">
        <x:v>L3</x:v>
      </x:c>
      <x:c r="C100" s="8" t="str">
        <x:v>start</x:v>
      </x:c>
      <x:c r="D100" s="8" t="str">
        <x:v>系统/前端边界</x:v>
      </x:c>
      <x:c r="E100" s="8" t="str">
        <x:v>{}</x:v>
      </x:c>
      <x:c r="F100" s="8" t="str">
        <x:v>POST levels/l3幂等建run，要求L2出口开</x:v>
      </x:c>
      <x:c r="G100" s="8" t="str"/>
      <x:c r="H100" s="8" t="str">
        <x:v>非计分动作</x:v>
      </x:c>
      <x:c r="I100" s="8" t="str"/>
      <x:c r="J100" s="8" t="str">
        <x:v>apps/api/app/l3_api.py:90</x:v>
      </x:c>
      <x:c r="K100" s="9"/>
      <x:c r="L100" s="9"/>
      <x:c r="M100" s="9"/>
      <x:c r="N100" s="9"/>
    </x:row>
    <x:row r="101" ht="78" customHeight="1">
      <x:c r="A101" s="5" t="str">
        <x:v>L4.meta.start</x:v>
      </x:c>
      <x:c r="B101" s="5" t="str">
        <x:v>L4</x:v>
      </x:c>
      <x:c r="C101" s="5" t="str">
        <x:v>start</x:v>
      </x:c>
      <x:c r="D101" s="5" t="str">
        <x:v>系统/前端边界</x:v>
      </x:c>
      <x:c r="E101" s="5" t="str">
        <x:v>{}</x:v>
      </x:c>
      <x:c r="F101" s="5" t="str">
        <x:v>POST levels/l4幂等建run，携带L3最终item</x:v>
      </x:c>
      <x:c r="G101" s="5" t="str"/>
      <x:c r="H101" s="5" t="str">
        <x:v>非计分动作</x:v>
      </x:c>
      <x:c r="I101" s="5" t="str"/>
      <x:c r="J101" s="5" t="str">
        <x:v>apps/api/app/l4_api.py:94</x:v>
      </x:c>
      <x:c r="K101" s="9"/>
      <x:c r="L101" s="9"/>
      <x:c r="M101" s="9"/>
      <x:c r="N101" s="9"/>
    </x:row>
    <x:row r="102" ht="78" customHeight="1">
      <x:c r="A102" s="8" t="str">
        <x:v>L4.meta.preview</x:v>
      </x:c>
      <x:c r="B102" s="8" t="str">
        <x:v>L4</x:v>
      </x:c>
      <x:c r="C102" s="8" t="str">
        <x:v>preview</x:v>
      </x:c>
      <x:c r="D102" s="8" t="str">
        <x:v>系统/前端边界</x:v>
      </x:c>
      <x:c r="E102" s="8" t="str">
        <x:v>{}</x:v>
      </x:c>
      <x:c r="F102" s="8" t="str">
        <x:v>选门预览/取消无业务事件，只有confirm写入</x:v>
      </x:c>
      <x:c r="G102" s="8" t="str"/>
      <x:c r="H102" s="8" t="str">
        <x:v>非计分动作</x:v>
      </x:c>
      <x:c r="I102" s="8" t="str"/>
      <x:c r="J102" s="8" t="str">
        <x:v>apps/api/app/main.py:111</x:v>
      </x:c>
      <x:c r="K102" s="9"/>
      <x:c r="L102" s="9"/>
      <x:c r="M102" s="9"/>
      <x:c r="N102" s="9"/>
    </x:row>
    <x:row r="103" ht="78" customHeight="1">
      <x:c r="A103" s="5" t="str">
        <x:v>ALL.meta.resume</x:v>
      </x:c>
      <x:c r="B103" s="5" t="str">
        <x:v>ALL</x:v>
      </x:c>
      <x:c r="C103" s="5" t="str">
        <x:v>resume</x:v>
      </x:c>
      <x:c r="D103" s="5" t="str">
        <x:v>系统/前端边界</x:v>
      </x:c>
      <x:c r="E103" s="5" t="str">
        <x:v>{}</x:v>
      </x:c>
      <x:c r="F103" s="5" t="str">
        <x:v>GET快照/GET events/结果读取不写业务事件</x:v>
      </x:c>
      <x:c r="G103" s="5" t="str"/>
      <x:c r="H103" s="5" t="str">
        <x:v>非计分动作</x:v>
      </x:c>
      <x:c r="I103" s="5" t="str"/>
      <x:c r="J103" s="5" t="str">
        <x:v>apps/api/app/main.py:111</x:v>
      </x:c>
      <x:c r="K103" s="9"/>
      <x:c r="L103" s="9"/>
      <x:c r="M103" s="9"/>
      <x:c r="N103" s="9"/>
    </x:row>
    <x:row r="104" ht="78" customHeight="1">
      <x:c r="A104" s="8" t="str">
        <x:v>ALL.meta.rejection</x:v>
      </x:c>
      <x:c r="B104" s="8" t="str">
        <x:v>ALL</x:v>
      </x:c>
      <x:c r="C104" s="8" t="str">
        <x:v>rejection</x:v>
      </x:c>
      <x:c r="D104" s="8" t="str">
        <x:v>系统/前端边界</x:v>
      </x:c>
      <x:c r="E104" s="8" t="str">
        <x:v>{}</x:v>
      </x:c>
      <x:c r="F104" s="8" t="str">
        <x:v>409业务拒绝入回执但不加分；422结构错误/认证失败不写事件表；同ID换载荷409直接拒绝</x:v>
      </x:c>
      <x:c r="G104" s="8" t="str"/>
      <x:c r="H104" s="8" t="str">
        <x:v>非计分动作</x:v>
      </x:c>
      <x:c r="I104" s="8" t="str"/>
      <x:c r="J104" s="8" t="str">
        <x:v>apps/api/app/main.py:111</x:v>
      </x:c>
      <x:c r="K104" s="9"/>
      <x:c r="L104" s="9"/>
      <x:c r="M104" s="9"/>
      <x:c r="N104" s="9"/>
    </x:row>
  </x:sheetData>
  <x:pageMargins left="0.7" right="0.7" top="0.75" bottom="0.75" header="0.3" footer="0.3"/>
  <x:tableParts count="1">
    <x:tablePart xmlns:r="http://schemas.openxmlformats.org/officeDocument/2006/relationships" r:id="Rb002ed8393024c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47" hidden="0" customWidth="1"/>
    <x:col min="4" max="4" width="42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23" hidden="0" customWidth="1"/>
    <x:col min="10" max="10" width="55" hidden="0" customWidth="1"/>
    <x:col min="11" max="11" width="62" hidden="0" customWidth="1"/>
    <x:col min="12" max="12" width="27" hidden="0" customWidth="1"/>
    <x:col min="13" max="13" width="70" hidden="0" customWidth="1"/>
  </x:cols>
  <x:sheetData>
    <x:row r="2">
      <x:c r="A2" s="1" t="str">
        <x:v>V6.2 · 全部 64 个选项</x:v>
      </x:c>
    </x:row>
    <x:row r="4">
      <x:c r="A4" s="2" t="str">
        <x:v>来源：情感密室_V6.2_评分表修改后26Aug(2).xlsx；文本 null 与空白统一显示 NA；数值 0 原样保留。</x:v>
      </x:c>
    </x:row>
    <x:row r="6" ht="34" customHeight="1">
      <x:c r="A6" s="7" t="str">
        <x:v>选项ID</x:v>
      </x:c>
      <x:c r="B6" s="7" t="str">
        <x:v>关卡</x:v>
      </x:c>
      <x:c r="C6" s="7" t="str">
        <x:v>节点 / 决策</x:v>
      </x:c>
      <x:c r="D6" s="7" t="str">
        <x:v>原表选项</x:v>
      </x:c>
      <x:c r="E6" s="7" t="str">
        <x:v>A</x:v>
      </x:c>
      <x:c r="F6" s="7" t="str">
        <x:v>V</x:v>
      </x:c>
      <x:c r="G6" s="7" t="str">
        <x:v>T</x:v>
      </x:c>
      <x:c r="H6" s="7" t="str">
        <x:v>F</x:v>
      </x:c>
      <x:c r="I6" s="7" t="str">
        <x:v>映射状态</x:v>
      </x:c>
      <x:c r="J6" s="7" t="str">
        <x:v>当前服务器证据</x:v>
      </x:c>
      <x:c r="K6" s="7" t="str">
        <x:v>缺口 / 待确认</x:v>
      </x:c>
      <x:c r="L6" s="7" t="str">
        <x:v>原表位置</x:v>
      </x:c>
      <x:c r="M6" s="7" t="str">
        <x:v>原表修订说明</x:v>
      </x:c>
    </x:row>
    <x:row r="7" ht="78" customHeight="1">
      <x:c r="A7" s="5" t="str">
        <x:v>V62-R04</x:v>
      </x:c>
      <x:c r="B7" s="5" t="str">
        <x:v>L1</x:v>
      </x:c>
      <x:c r="C7" s="5" t="str">
        <x:v>N01 过河路径（强制四选一，四条路径需同等显眼）</x:v>
      </x:c>
      <x:c r="D7" s="5" t="str">
        <x:v>找木板修桥后过河</x:v>
      </x:c>
      <x:c r="E7" s="10" t="n">
        <x:v>1</x:v>
      </x:c>
      <x:c r="F7" s="10" t="str">
        <x:v>NA</x:v>
      </x:c>
      <x:c r="G7" s="10" t="str">
        <x:v>NA</x:v>
      </x:c>
      <x:c r="H7" s="10" t="n">
        <x:v>1</x:v>
      </x:c>
      <x:c r="I7" s="5" t="str">
        <x:v>可映射终态</x:v>
      </x:c>
      <x:c r="J7" s="5" t="str">
        <x:v>L1 scene=shore/complete; route=bridge/swim/ring/boat；cross-bridge/swim/use-ring/第5次paddle</x:v>
      </x:c>
      <x:c r="K7" s="5" t="str">
        <x:v>仅选最终过河路径；找桨/拿绳/修桥不是另一份路径分</x:v>
      </x:c>
      <x:c r="L7" s="5" t="str">
        <x:v>修订评分表!A4:H4</x:v>
      </x:c>
      <x:c r="M7" s="5" t="str">
        <x:v>四条路径改为强制四选一并需同等显眼，避免'先发现什么就走什么'的能力/曝光混淆；船桨跳跃次数不计分（机械动作，逐次计分会放大 5 倍）；原 6 行合并，消除同一意图重复计分。层级 E：受操作能力影响。</x:v>
      </x:c>
    </x:row>
    <x:row r="8" ht="78" customHeight="1">
      <x:c r="A8" s="8" t="str">
        <x:v>V62-R05</x:v>
      </x:c>
      <x:c r="B8" s="8" t="str">
        <x:v>L1</x:v>
      </x:c>
      <x:c r="C8" s="8" t="str">
        <x:v>N01 过河路径（强制四选一，四条路径需同等显眼）</x:v>
      </x:c>
      <x:c r="D8" s="8" t="str">
        <x:v>无游泳圈直接游泳</x:v>
      </x:c>
      <x:c r="E8" s="11" t="n">
        <x:v>-1</x:v>
      </x:c>
      <x:c r="F8" s="11" t="str">
        <x:v>NA</x:v>
      </x:c>
      <x:c r="G8" s="11" t="str">
        <x:v>NA</x:v>
      </x:c>
      <x:c r="H8" s="11" t="n">
        <x:v>-2</x:v>
      </x:c>
      <x:c r="I8" s="8" t="str">
        <x:v>可映射终态</x:v>
      </x:c>
      <x:c r="J8" s="8" t="str">
        <x:v>L1 scene=shore/complete; route=bridge/swim/ring/boat；cross-bridge/swim/use-ring/第5次paddle</x:v>
      </x:c>
      <x:c r="K8" s="8" t="str">
        <x:v>仅选最终过河路径；找桨/拿绳/修桥不是另一份路径分</x:v>
      </x:c>
      <x:c r="L8" s="8" t="str">
        <x:v>修订评分表!A5:H5</x:v>
      </x:c>
      <x:c r="M8" s="8" t="str"/>
    </x:row>
    <x:row r="9" ht="78" customHeight="1">
      <x:c r="A9" s="5" t="str">
        <x:v>V62-R06</x:v>
      </x:c>
      <x:c r="B9" s="5" t="str">
        <x:v>L1</x:v>
      </x:c>
      <x:c r="C9" s="5" t="str">
        <x:v>N01 过河路径（强制四选一，四条路径需同等显眼）</x:v>
      </x:c>
      <x:c r="D9" s="5" t="str">
        <x:v>找到游泳圈过河</x:v>
      </x:c>
      <x:c r="E9" s="10" t="n">
        <x:v>-1</x:v>
      </x:c>
      <x:c r="F9" s="10" t="str">
        <x:v>NA</x:v>
      </x:c>
      <x:c r="G9" s="10" t="str">
        <x:v>NA</x:v>
      </x:c>
      <x:c r="H9" s="10" t="n">
        <x:v>1</x:v>
      </x:c>
      <x:c r="I9" s="5" t="str">
        <x:v>可映射终态</x:v>
      </x:c>
      <x:c r="J9" s="5" t="str">
        <x:v>L1 scene=shore/complete; route=bridge/swim/ring/boat；cross-bridge/swim/use-ring/第5次paddle</x:v>
      </x:c>
      <x:c r="K9" s="5" t="str">
        <x:v>仅选最终过河路径；找桨/拿绳/修桥不是另一份路径分</x:v>
      </x:c>
      <x:c r="L9" s="5" t="str">
        <x:v>修订评分表!A6:H6</x:v>
      </x:c>
      <x:c r="M9" s="5" t="str"/>
    </x:row>
    <x:row r="10" ht="78" customHeight="1">
      <x:c r="A10" s="8" t="str">
        <x:v>V62-R07</x:v>
      </x:c>
      <x:c r="B10" s="8" t="str">
        <x:v>L1</x:v>
      </x:c>
      <x:c r="C10" s="8" t="str">
        <x:v>N01 过河路径（强制四选一，四条路径需同等显眼）</x:v>
      </x:c>
      <x:c r="D10" s="8" t="str">
        <x:v>修船后过河（船桨跳跃次数不计分）</x:v>
      </x:c>
      <x:c r="E10" s="11" t="n">
        <x:v>1</x:v>
      </x:c>
      <x:c r="F10" s="11" t="str">
        <x:v>NA</x:v>
      </x:c>
      <x:c r="G10" s="11" t="str">
        <x:v>NA</x:v>
      </x:c>
      <x:c r="H10" s="11" t="n">
        <x:v>0</x:v>
      </x:c>
      <x:c r="I10" s="8" t="str">
        <x:v>可映射终态</x:v>
      </x:c>
      <x:c r="J10" s="8" t="str">
        <x:v>L1 scene=shore/complete; route=bridge/swim/ring/boat；cross-bridge/swim/use-ring/第5次paddle</x:v>
      </x:c>
      <x:c r="K10" s="8" t="str">
        <x:v>仅选最终过河路径；找桨/拿绳/修桥不是另一份路径分</x:v>
      </x:c>
      <x:c r="L10" s="8" t="str">
        <x:v>修订评分表!A7:H7</x:v>
      </x:c>
      <x:c r="M10" s="8" t="str"/>
    </x:row>
    <x:row r="11" ht="78" customHeight="1">
      <x:c r="A11" s="5" t="str">
        <x:v>V62-R08</x:v>
      </x:c>
      <x:c r="B11" s="5" t="str">
        <x:v>L1</x:v>
      </x:c>
      <x:c r="C11" s="5" t="str">
        <x:v>N02 线索取舍（线索须定义为不含指向性的提示牌）</x:v>
      </x:c>
      <x:c r="D11" s="5" t="str">
        <x:v>采用线索</x:v>
      </x:c>
      <x:c r="E11" s="10" t="str">
        <x:v>NA</x:v>
      </x:c>
      <x:c r="F11" s="10" t="str">
        <x:v>NA</x:v>
      </x:c>
      <x:c r="G11" s="10" t="n">
        <x:v>-1</x:v>
      </x:c>
      <x:c r="H11" s="10" t="str">
        <x:v>NA</x:v>
      </x:c>
      <x:c r="I11" s="5" t="str">
        <x:v>缺服务器事件</x:v>
      </x:c>
      <x:c r="J11" s="5" t="str">
        <x:v>无 clue/hint-choice 事件；打开提示仅前端</x:v>
      </x:c>
      <x:c r="K11" s="5" t="str">
        <x:v>需定义线索内容并增加明确采用/不采用事件，不能把关提示当不采用</x:v>
      </x:c>
      <x:c r="L11" s="5" t="str">
        <x:v>修订评分表!A8:H8</x:v>
      </x:c>
      <x:c r="M11" s="5" t="str">
        <x:v>补全'采用线索'选项（原表只有'不采用'，不对称）；只载 T（对外部提示的依赖度）。线索内容需在开发文档中定义为不含指向性的提示。</x:v>
      </x:c>
    </x:row>
    <x:row r="12" ht="78" customHeight="1">
      <x:c r="A12" s="8" t="str">
        <x:v>V62-R09</x:v>
      </x:c>
      <x:c r="B12" s="8" t="str">
        <x:v>L1</x:v>
      </x:c>
      <x:c r="C12" s="8" t="str">
        <x:v>N02 线索取舍（线索须定义为不含指向性的提示牌）</x:v>
      </x:c>
      <x:c r="D12" s="8" t="str">
        <x:v>不采用线索</x:v>
      </x:c>
      <x:c r="E12" s="11" t="str">
        <x:v>NA</x:v>
      </x:c>
      <x:c r="F12" s="11" t="str">
        <x:v>NA</x:v>
      </x:c>
      <x:c r="G12" s="11" t="n">
        <x:v>1</x:v>
      </x:c>
      <x:c r="H12" s="11" t="str">
        <x:v>NA</x:v>
      </x:c>
      <x:c r="I12" s="8" t="str">
        <x:v>缺服务器事件</x:v>
      </x:c>
      <x:c r="J12" s="8" t="str">
        <x:v>无 clue/hint-choice 事件；打开提示仅前端</x:v>
      </x:c>
      <x:c r="K12" s="8" t="str">
        <x:v>需定义线索内容并增加明确采用/不采用事件，不能把关提示当不采用</x:v>
      </x:c>
      <x:c r="L12" s="8" t="str">
        <x:v>修订评分表!A9:H9</x:v>
      </x:c>
      <x:c r="M12" s="8" t="str"/>
    </x:row>
    <x:row r="13" ht="78" customHeight="1">
      <x:c r="A13" s="5" t="str">
        <x:v>V62-R10</x:v>
      </x:c>
      <x:c r="B13" s="5" t="str">
        <x:v>L1</x:v>
      </x:c>
      <x:c r="C13" s="5" t="str">
        <x:v>N03 对岸人物（模糊的熟悉身影）</x:v>
      </x:c>
      <x:c r="D13" s="5" t="str">
        <x:v>点选人物并主动交谈</x:v>
      </x:c>
      <x:c r="E13" s="10" t="str">
        <x:v>NA</x:v>
      </x:c>
      <x:c r="F13" s="10" t="n">
        <x:v>-2</x:v>
      </x:c>
      <x:c r="G13" s="10" t="str">
        <x:v>NA</x:v>
      </x:c>
      <x:c r="H13" s="10" t="str">
        <x:v>NA</x:v>
      </x:c>
      <x:c r="I13" s="5" t="str">
        <x:v>证据不足</x:v>
      </x:c>
      <x:c r="J13" s="5" t="str">
        <x:v>L1 greet/greet-woman yes/no 可记录；greeted/greetedWoman；enter</x:v>
      </x:c>
      <x:c r="K13" s="5" t="str">
        <x:v>只有打招呼，没有主动交谈事件；打开人物提示未记录，不能证明完全没点选；两个独立人物如何合并一节点待定</x:v>
      </x:c>
      <x:c r="L13" s="5" t="str">
        <x:v>修订评分表!A10:H10</x:v>
      </x:c>
      <x:c r="M13" s="5" t="str">
        <x:v>对岸人物只在本节点计 V，人物统一设定为'模糊的熟悉身影'。原'是否交谈-否 A+2'删除（对陌生人的社交谨慎 ≠ 依恋焦虑），并与'不点选人 A-1'的方向矛盾。层级 R：直接关系行为。</x:v>
      </x:c>
    </x:row>
    <x:row r="14" ht="78" customHeight="1">
      <x:c r="A14" s="8" t="str">
        <x:v>V62-R11</x:v>
      </x:c>
      <x:c r="B14" s="8" t="str">
        <x:v>L1</x:v>
      </x:c>
      <x:c r="C14" s="8" t="str">
        <x:v>N03 对岸人物（模糊的熟悉身影）</x:v>
      </x:c>
      <x:c r="D14" s="8" t="str">
        <x:v>点选人物，仅打招呼即止</x:v>
      </x:c>
      <x:c r="E14" s="11" t="str">
        <x:v>NA</x:v>
      </x:c>
      <x:c r="F14" s="11" t="n">
        <x:v>0</x:v>
      </x:c>
      <x:c r="G14" s="11" t="str">
        <x:v>NA</x:v>
      </x:c>
      <x:c r="H14" s="11" t="str">
        <x:v>NA</x:v>
      </x:c>
      <x:c r="I14" s="8" t="str">
        <x:v>证据不足</x:v>
      </x:c>
      <x:c r="J14" s="8" t="str">
        <x:v>L1 greet/greet-woman yes/no 可记录；greeted/greetedWoman；enter</x:v>
      </x:c>
      <x:c r="K14" s="8" t="str">
        <x:v>只有打招呼，没有主动交谈事件；打开人物提示未记录，不能证明完全没点选；两个独立人物如何合并一节点待定</x:v>
      </x:c>
      <x:c r="L14" s="8" t="str">
        <x:v>修订评分表!A11:H11</x:v>
      </x:c>
      <x:c r="M14" s="8" t="str"/>
    </x:row>
    <x:row r="15" ht="78" customHeight="1">
      <x:c r="A15" s="5" t="str">
        <x:v>V62-R12</x:v>
      </x:c>
      <x:c r="B15" s="5" t="str">
        <x:v>L1</x:v>
      </x:c>
      <x:c r="C15" s="5" t="str">
        <x:v>N03 对岸人物（模糊的熟悉身影）</x:v>
      </x:c>
      <x:c r="D15" s="5" t="str">
        <x:v>完全不点选，绕开人物</x:v>
      </x:c>
      <x:c r="E15" s="10" t="str">
        <x:v>NA</x:v>
      </x:c>
      <x:c r="F15" s="10" t="n">
        <x:v>2</x:v>
      </x:c>
      <x:c r="G15" s="10" t="str">
        <x:v>NA</x:v>
      </x:c>
      <x:c r="H15" s="10" t="str">
        <x:v>NA</x:v>
      </x:c>
      <x:c r="I15" s="5" t="str">
        <x:v>证据不足</x:v>
      </x:c>
      <x:c r="J15" s="5" t="str">
        <x:v>L1 greet/greet-woman yes/no 可记录；greeted/greetedWoman；enter</x:v>
      </x:c>
      <x:c r="K15" s="5" t="str">
        <x:v>只有打招呼，没有主动交谈事件；打开人物提示未记录，不能证明完全没点选；两个独立人物如何合并一节点待定</x:v>
      </x:c>
      <x:c r="L15" s="5" t="str">
        <x:v>修订评分表!A12:H12</x:v>
      </x:c>
      <x:c r="M15" s="5" t="str"/>
    </x:row>
    <x:row r="16" ht="78" customHeight="1">
      <x:c r="A16" s="8" t="str">
        <x:v>V62-R13</x:v>
      </x:c>
      <x:c r="B16" s="8" t="str">
        <x:v>L1</x:v>
      </x:c>
      <x:c r="C16" s="8" t="str">
        <x:v>N04 对岸的灯（点亮 × 带走，四种终态）</x:v>
      </x:c>
      <x:c r="D16" s="8" t="str">
        <x:v>点亮并带走</x:v>
      </x:c>
      <x:c r="E16" s="11" t="str">
        <x:v>NA</x:v>
      </x:c>
      <x:c r="F16" s="11" t="str">
        <x:v>NA</x:v>
      </x:c>
      <x:c r="G16" s="11" t="str">
        <x:v>NA</x:v>
      </x:c>
      <x:c r="H16" s="11" t="n">
        <x:v>2</x:v>
      </x:c>
      <x:c r="I16" s="8" t="str">
        <x:v>可映射终态</x:v>
      </x:c>
      <x:c r="J16" s="8" t="str">
        <x:v>L1 enter 接受时 lampLit/lampTaken 的四种组合；按事件顺序重放或冻结终态</x:v>
      </x:c>
      <x:c r="K16" s="8" t="str">
        <x:v>L1 /events 未存逐动作 outcome；不能拿未结束时未操作推定终态</x:v>
      </x:c>
      <x:c r="L16" s="8" t="str">
        <x:v>修订评分表!A13:H13</x:v>
      </x:c>
      <x:c r="M16" s="8" t="str">
        <x:v>灯为非关系资源，只载 F（完成/闭合）；与人物节点解耦，消除'取走灯系列'与人物行的多行重复计分，删除 (-1,-1,-1,-1)、(+1,+1,+1,+1) 等四维同号向量。</x:v>
      </x:c>
    </x:row>
    <x:row r="17" ht="78" customHeight="1">
      <x:c r="A17" s="5" t="str">
        <x:v>V62-R14</x:v>
      </x:c>
      <x:c r="B17" s="5" t="str">
        <x:v>L1</x:v>
      </x:c>
      <x:c r="C17" s="5" t="str">
        <x:v>N04 对岸的灯（点亮 × 带走，四种终态）</x:v>
      </x:c>
      <x:c r="D17" s="5" t="str">
        <x:v>点亮，不带走</x:v>
      </x:c>
      <x:c r="E17" s="10" t="str">
        <x:v>NA</x:v>
      </x:c>
      <x:c r="F17" s="10" t="str">
        <x:v>NA</x:v>
      </x:c>
      <x:c r="G17" s="10" t="str">
        <x:v>NA</x:v>
      </x:c>
      <x:c r="H17" s="10" t="n">
        <x:v>0</x:v>
      </x:c>
      <x:c r="I17" s="5" t="str">
        <x:v>可映射终态</x:v>
      </x:c>
      <x:c r="J17" s="5" t="str">
        <x:v>L1 enter 接受时 lampLit/lampTaken 的四种组合；按事件顺序重放或冻结终态</x:v>
      </x:c>
      <x:c r="K17" s="5" t="str">
        <x:v>L1 /events 未存逐动作 outcome；不能拿未结束时未操作推定终态</x:v>
      </x:c>
      <x:c r="L17" s="5" t="str">
        <x:v>修订评分表!A14:H14</x:v>
      </x:c>
      <x:c r="M17" s="5" t="str"/>
    </x:row>
    <x:row r="18" ht="78" customHeight="1">
      <x:c r="A18" s="8" t="str">
        <x:v>V62-R15</x:v>
      </x:c>
      <x:c r="B18" s="8" t="str">
        <x:v>L1</x:v>
      </x:c>
      <x:c r="C18" s="8" t="str">
        <x:v>N04 对岸的灯（点亮 × 带走，四种终态）</x:v>
      </x:c>
      <x:c r="D18" s="8" t="str">
        <x:v>不点亮，但带走</x:v>
      </x:c>
      <x:c r="E18" s="11" t="str">
        <x:v>NA</x:v>
      </x:c>
      <x:c r="F18" s="11" t="str">
        <x:v>NA</x:v>
      </x:c>
      <x:c r="G18" s="11" t="str">
        <x:v>NA</x:v>
      </x:c>
      <x:c r="H18" s="11" t="n">
        <x:v>0</x:v>
      </x:c>
      <x:c r="I18" s="8" t="str">
        <x:v>可映射终态</x:v>
      </x:c>
      <x:c r="J18" s="8" t="str">
        <x:v>L1 enter 接受时 lampLit/lampTaken 的四种组合；按事件顺序重放或冻结终态</x:v>
      </x:c>
      <x:c r="K18" s="8" t="str">
        <x:v>L1 /events 未存逐动作 outcome；不能拿未结束时未操作推定终态</x:v>
      </x:c>
      <x:c r="L18" s="8" t="str">
        <x:v>修订评分表!A15:H15</x:v>
      </x:c>
      <x:c r="M18" s="8" t="str"/>
    </x:row>
    <x:row r="19" ht="78" customHeight="1">
      <x:c r="A19" s="5" t="str">
        <x:v>V62-R16</x:v>
      </x:c>
      <x:c r="B19" s="5" t="str">
        <x:v>L1</x:v>
      </x:c>
      <x:c r="C19" s="5" t="str">
        <x:v>N04 对岸的灯（点亮 × 带走，四种终态）</x:v>
      </x:c>
      <x:c r="D19" s="5" t="str">
        <x:v>不点亮，不带走</x:v>
      </x:c>
      <x:c r="E19" s="10" t="str">
        <x:v>NA</x:v>
      </x:c>
      <x:c r="F19" s="10" t="str">
        <x:v>NA</x:v>
      </x:c>
      <x:c r="G19" s="10" t="str">
        <x:v>NA</x:v>
      </x:c>
      <x:c r="H19" s="10" t="n">
        <x:v>-2</x:v>
      </x:c>
      <x:c r="I19" s="5" t="str">
        <x:v>可映射终态</x:v>
      </x:c>
      <x:c r="J19" s="5" t="str">
        <x:v>L1 enter 接受时 lampLit/lampTaken 的四种组合；按事件顺序重放或冻结终态</x:v>
      </x:c>
      <x:c r="K19" s="5" t="str">
        <x:v>L1 /events 未存逐动作 outcome；不能拿未结束时未操作推定终态</x:v>
      </x:c>
      <x:c r="L19" s="5" t="str">
        <x:v>修订评分表!A16:H16</x:v>
      </x:c>
      <x:c r="M19" s="5" t="str"/>
    </x:row>
    <x:row r="20" ht="78" customHeight="1">
      <x:c r="A20" s="8" t="str">
        <x:v>V62-R17</x:v>
      </x:c>
      <x:c r="B20" s="8" t="str">
        <x:v>L2</x:v>
      </x:c>
      <x:c r="C20" s="8" t="str">
        <x:v>N05 进门座位</x:v>
      </x:c>
      <x:c r="D20" s="8" t="str">
        <x:v>坐靠窗椅子</x:v>
      </x:c>
      <x:c r="E20" s="11" t="n">
        <x:v>1</x:v>
      </x:c>
      <x:c r="F20" s="11" t="str">
        <x:v>NA</x:v>
      </x:c>
      <x:c r="G20" s="11" t="str">
        <x:v>NA</x:v>
      </x:c>
      <x:c r="H20" s="11" t="str">
        <x:v>NA</x:v>
      </x:c>
      <x:c r="I20" s="8" t="str">
        <x:v>可映射终态</x:v>
      </x:c>
      <x:c r="J20" s="8" t="str">
        <x:v>L2 sit seat=chair yes=true；outcome.seat=chair</x:v>
      </x:c>
      <x:c r="K20" s="8" t="str">
        <x:v>重复换座可发生，取哪次需节点截止规则</x:v>
      </x:c>
      <x:c r="L20" s="8" t="str">
        <x:v>修订评分表!A17:H17</x:v>
      </x:c>
      <x:c r="M20" s="8" t="str">
        <x:v>座位偏好属空间偏好，仅弱载 A（安全基地寻求），层级 E；原 T/F 分值与'偏向自我'备注矛盾，取消。</x:v>
      </x:c>
    </x:row>
    <x:row r="21" ht="78" customHeight="1">
      <x:c r="A21" s="5" t="str">
        <x:v>V62-R18</x:v>
      </x:c>
      <x:c r="B21" s="5" t="str">
        <x:v>L2</x:v>
      </x:c>
      <x:c r="C21" s="5" t="str">
        <x:v>N05 进门座位</x:v>
      </x:c>
      <x:c r="D21" s="5" t="str">
        <x:v>坐靠中心椅子</x:v>
      </x:c>
      <x:c r="E21" s="10" t="n">
        <x:v>-1</x:v>
      </x:c>
      <x:c r="F21" s="10" t="str">
        <x:v>NA</x:v>
      </x:c>
      <x:c r="G21" s="10" t="str">
        <x:v>NA</x:v>
      </x:c>
      <x:c r="H21" s="10" t="str">
        <x:v>NA</x:v>
      </x:c>
      <x:c r="I21" s="5" t="str">
        <x:v>名称需确认</x:v>
      </x:c>
      <x:c r="J21" s="5" t="str">
        <x:v>L2 sit seat=table-seat yes=true；outcome.seat=table-seat</x:v>
      </x:c>
      <x:c r="K21" s="5" t="str">
        <x:v>本地叫桌前椅，表叫靠中心椅；不是已确认同一语义</x:v>
      </x:c>
      <x:c r="L21" s="5" t="str">
        <x:v>修订评分表!A18:H18</x:v>
      </x:c>
      <x:c r="M21" s="5" t="str"/>
    </x:row>
    <x:row r="22" ht="78" customHeight="1">
      <x:c r="A22" s="8" t="str">
        <x:v>V62-R19</x:v>
      </x:c>
      <x:c r="B22" s="8" t="str">
        <x:v>L2</x:v>
      </x:c>
      <x:c r="C22" s="8" t="str">
        <x:v>N05 进门座位</x:v>
      </x:c>
      <x:c r="D22" s="8" t="str">
        <x:v>不坐，直接去桌边</x:v>
      </x:c>
      <x:c r="E22" s="11" t="n">
        <x:v>0</x:v>
      </x:c>
      <x:c r="F22" s="11" t="str">
        <x:v>NA</x:v>
      </x:c>
      <x:c r="G22" s="11" t="str">
        <x:v>NA</x:v>
      </x:c>
      <x:c r="H22" s="11" t="str">
        <x:v>NA</x:v>
      </x:c>
      <x:c r="I22" s="8" t="str">
        <x:v>可派生但未封口</x:v>
      </x:c>
      <x:c r="J22" s="8" t="str">
        <x:v>L2 arrive-table 且此前无成功 sit</x:v>
      </x:c>
      <x:c r="K22" s="8" t="str">
        <x:v>arrive-table后仍能坐下；首选/最终座位及封口时点待确认</x:v>
      </x:c>
      <x:c r="L22" s="8" t="str">
        <x:v>修订评分表!A19:H19</x:v>
      </x:c>
      <x:c r="M22" s="8" t="str"/>
    </x:row>
    <x:row r="23" ht="78" customHeight="1">
      <x:c r="A23" s="5" t="str">
        <x:v>V62-R20</x:v>
      </x:c>
      <x:c r="B23" s="5" t="str">
        <x:v>L2</x:v>
      </x:c>
      <x:c r="C23" s="5" t="str">
        <x:v>N06 钥匙策略（首把设计为必失败）</x:v>
      </x:c>
      <x:c r="D23" s="5" t="str">
        <x:v>直接尝试一把</x:v>
      </x:c>
      <x:c r="E23" s="10" t="str">
        <x:v>NA</x:v>
      </x:c>
      <x:c r="F23" s="10" t="str">
        <x:v>NA</x:v>
      </x:c>
      <x:c r="G23" s="10" t="str">
        <x:v>NA</x:v>
      </x:c>
      <x:c r="H23" s="10" t="n">
        <x:v>-1</x:v>
      </x:c>
      <x:c r="I23" s="5" t="str">
        <x:v>证据不足</x:v>
      </x:c>
      <x:c r="J23" s="5" t="str">
        <x:v>L2 select-key、try-door 的接受事件及顺序</x:v>
      </x:c>
      <x:c r="K23" s="5" t="str">
        <x:v>同一已选钥匙重复点选不产生新选择；无比较/反复确认事件或判定阈值，不能把两把必经选择当反复比较</x:v>
      </x:c>
      <x:c r="L23" s="5" t="str">
        <x:v>修订评分表!A20:H20</x:v>
      </x:c>
      <x:c r="M23" s="5" t="str">
        <x:v>只载 F（对确定性/确认的需要）。原 A+2/T+1 等多维载荷取消。</x:v>
      </x:c>
    </x:row>
    <x:row r="24" ht="78" customHeight="1">
      <x:c r="A24" s="8" t="str">
        <x:v>V62-R21</x:v>
      </x:c>
      <x:c r="B24" s="8" t="str">
        <x:v>L2</x:v>
      </x:c>
      <x:c r="C24" s="8" t="str">
        <x:v>N06 钥匙策略（首把设计为必失败）</x:v>
      </x:c>
      <x:c r="D24" s="8" t="str">
        <x:v>反复比较确认后再尝试</x:v>
      </x:c>
      <x:c r="E24" s="11" t="str">
        <x:v>NA</x:v>
      </x:c>
      <x:c r="F24" s="11" t="str">
        <x:v>NA</x:v>
      </x:c>
      <x:c r="G24" s="11" t="str">
        <x:v>NA</x:v>
      </x:c>
      <x:c r="H24" s="11" t="n">
        <x:v>1</x:v>
      </x:c>
      <x:c r="I24" s="8" t="str">
        <x:v>证据不足</x:v>
      </x:c>
      <x:c r="J24" s="8" t="str">
        <x:v>L2 select-key、try-door 的接受事件及顺序</x:v>
      </x:c>
      <x:c r="K24" s="8" t="str">
        <x:v>同一已选钥匙重复点选不产生新选择；无比较/反复确认事件或判定阈值，不能把两把必经选择当反复比较</x:v>
      </x:c>
      <x:c r="L24" s="8" t="str">
        <x:v>修订评分表!A21:H21</x:v>
      </x:c>
      <x:c r="M24" s="8" t="str"/>
    </x:row>
    <x:row r="25" ht="78" customHeight="1">
      <x:c r="A25" s="5" t="str">
        <x:v>V62-R22</x:v>
      </x:c>
      <x:c r="B25" s="5" t="str">
        <x:v>L2</x:v>
      </x:c>
      <x:c r="C25" s="5" t="str">
        <x:v>N07 首把失败后</x:v>
      </x:c>
      <x:c r="D25" s="5" t="str">
        <x:v>尝试第二把</x:v>
      </x:c>
      <x:c r="E25" s="10" t="str">
        <x:v>NA</x:v>
      </x:c>
      <x:c r="F25" s="10" t="n">
        <x:v>-1</x:v>
      </x:c>
      <x:c r="G25" s="10" t="str">
        <x:v>NA</x:v>
      </x:c>
      <x:c r="H25" s="10" t="str">
        <x:v>NA</x:v>
      </x:c>
      <x:c r="I25" s="5" t="str">
        <x:v>可映射终态</x:v>
      </x:c>
      <x:c r="J25" s="5" t="str">
        <x:v>L2 第二次不同 key 的 try-door；outcome.attempt=2, door_open=true</x:v>
      </x:c>
      <x:c r="K25" s="5" t="str">
        <x:v>首把不论key必失败，第二把成功</x:v>
      </x:c>
      <x:c r="L25" s="5" t="str">
        <x:v>修订评分表!A22:H22</x:v>
      </x:c>
      <x:c r="M25" s="5" t="str">
        <x:v>首把必失败为设计；只载 V（受挫后是否继续接触）。放弃后需有兜底推进机制（见'变更说明·配套改动'）。</x:v>
      </x:c>
    </x:row>
    <x:row r="26" ht="78" customHeight="1">
      <x:c r="A26" s="8" t="str">
        <x:v>V62-R23</x:v>
      </x:c>
      <x:c r="B26" s="8" t="str">
        <x:v>L2</x:v>
      </x:c>
      <x:c r="C26" s="8" t="str">
        <x:v>N07 首把失败后</x:v>
      </x:c>
      <x:c r="D26" s="8" t="str">
        <x:v>放弃，不再尝试</x:v>
      </x:c>
      <x:c r="E26" s="11" t="str">
        <x:v>NA</x:v>
      </x:c>
      <x:c r="F26" s="11" t="n">
        <x:v>1</x:v>
      </x:c>
      <x:c r="G26" s="11" t="str">
        <x:v>NA</x:v>
      </x:c>
      <x:c r="H26" s="11" t="str">
        <x:v>NA</x:v>
      </x:c>
      <x:c r="I26" s="8" t="str">
        <x:v>可派生但未封口</x:v>
      </x:c>
      <x:c r="J26" s="8" t="str">
        <x:v>L2 attempts长度=1 且通过家具确认完成该关</x:v>
      </x:c>
      <x:c r="K26" s="8" t="str">
        <x:v>没有明确放弃动作；需在完成关卡时判定，不等同浏览器关闭</x:v>
      </x:c>
      <x:c r="L26" s="8" t="str">
        <x:v>修订评分表!A23:H23</x:v>
      </x:c>
      <x:c r="M26" s="8" t="str"/>
    </x:row>
    <x:row r="27" ht="78" customHeight="1">
      <x:c r="A27" s="5" t="str">
        <x:v>V62-R24</x:v>
      </x:c>
      <x:c r="B27" s="5" t="str">
        <x:v>L2</x:v>
      </x:c>
      <x:c r="C27" s="5" t="str">
        <x:v>N08 钥匙开门后屋内黑（仅当 N2-3=尝试第二把 时出现）</x:v>
      </x:c>
      <x:c r="D27" s="5" t="str">
        <x:v>停在门口，不进入</x:v>
      </x:c>
      <x:c r="E27" s="10" t="n">
        <x:v>1</x:v>
      </x:c>
      <x:c r="F27" s="10" t="str">
        <x:v>NA</x:v>
      </x:c>
      <x:c r="G27" s="10" t="str">
        <x:v>NA</x:v>
      </x:c>
      <x:c r="H27" s="10" t="str">
        <x:v>NA</x:v>
      </x:c>
      <x:c r="I27" s="5" t="str">
        <x:v>节点重叠待拆分</x:v>
      </x:c>
      <x:c r="J27" s="5" t="str">
        <x:v>L2 同一 explore yes=false/true；进入 view=bedroom</x:v>
      </x:c>
      <x:c r="K27" s="5" t="str">
        <x:v>开锁后的黑屋与半开门共用 explore；不可与下一节点重复加分</x:v>
      </x:c>
      <x:c r="L27" s="5" t="str">
        <x:v>修订评分表!A24:H24</x:v>
      </x:c>
      <x:c r="M27" s="5" t="str">
        <x:v>原'否'合计 +9，是全表最大单项；混入怕黑与游戏惯性，降为 A±1，仅当尝试第二把后出现。</x:v>
      </x:c>
    </x:row>
    <x:row r="28" ht="78" customHeight="1">
      <x:c r="A28" s="8" t="str">
        <x:v>V62-R25</x:v>
      </x:c>
      <x:c r="B28" s="8" t="str">
        <x:v>L2</x:v>
      </x:c>
      <x:c r="C28" s="8" t="str">
        <x:v>N08 钥匙开门后屋内黑（仅当 N2-3=尝试第二把 时出现）</x:v>
      </x:c>
      <x:c r="D28" s="8" t="str">
        <x:v>进入黑暗空间探索</x:v>
      </x:c>
      <x:c r="E28" s="11" t="n">
        <x:v>-1</x:v>
      </x:c>
      <x:c r="F28" s="11" t="str">
        <x:v>NA</x:v>
      </x:c>
      <x:c r="G28" s="11" t="str">
        <x:v>NA</x:v>
      </x:c>
      <x:c r="H28" s="11" t="str">
        <x:v>NA</x:v>
      </x:c>
      <x:c r="I28" s="8" t="str">
        <x:v>节点重叠待拆分</x:v>
      </x:c>
      <x:c r="J28" s="8" t="str">
        <x:v>L2 同一 explore yes=false/true；进入 view=bedroom</x:v>
      </x:c>
      <x:c r="K28" s="8" t="str">
        <x:v>开锁后的黑屋与半开门共用 explore；不可与下一节点重复加分</x:v>
      </x:c>
      <x:c r="L28" s="8" t="str">
        <x:v>修订评分表!A25:H25</x:v>
      </x:c>
      <x:c r="M28" s="8" t="str"/>
    </x:row>
    <x:row r="29" ht="78" customHeight="1">
      <x:c r="A29" s="5" t="str">
        <x:v>V62-R26</x:v>
      </x:c>
      <x:c r="B29" s="5" t="str">
        <x:v>L2</x:v>
      </x:c>
      <x:c r="C29" s="5" t="str">
        <x:v>N09 半开的门（池）</x:v>
      </x:c>
      <x:c r="D29" s="5" t="str">
        <x:v>直接进入</x:v>
      </x:c>
      <x:c r="E29" s="10" t="str">
        <x:v>NA</x:v>
      </x:c>
      <x:c r="F29" s="10" t="n">
        <x:v>-2</x:v>
      </x:c>
      <x:c r="G29" s="10" t="n">
        <x:v>1</x:v>
      </x:c>
      <x:c r="H29" s="10" t="str">
        <x:v>NA</x:v>
      </x:c>
      <x:c r="I29" s="5" t="str">
        <x:v>节点重叠待拆分</x:v>
      </x:c>
      <x:c r="J29" s="5" t="str">
        <x:v>L2 explore接受序列：直接true / false后true / false后其他操作</x:v>
      </x:c>
      <x:c r="K29" s="5" t="str">
        <x:v>当前同一扇门无独立N2-4/N2-5标识；需节点拆分或确认合并、终态截止</x:v>
      </x:c>
      <x:c r="L29" s="5" t="str">
        <x:v>修订评分表!A26:H26</x:v>
      </x:c>
      <x:c r="M29" s="5" t="str">
        <x:v>原'否'与'否，然后处理其他'重叠，合并为三个互斥终态；不再载 A（接近-回避摆动由摆动规则处理）；T 载'改口一致性'。同一道具在 L3 亦出现，建议 L2/L3 版本区分。</x:v>
      </x:c>
    </x:row>
    <x:row r="30" ht="78" customHeight="1">
      <x:c r="A30" s="8" t="str">
        <x:v>V62-R27</x:v>
      </x:c>
      <x:c r="B30" s="8" t="str">
        <x:v>L2</x:v>
      </x:c>
      <x:c r="C30" s="8" t="str">
        <x:v>N09 半开的门（池）</x:v>
      </x:c>
      <x:c r="D30" s="8" t="str">
        <x:v>先退后进（摆动）</x:v>
      </x:c>
      <x:c r="E30" s="11" t="str">
        <x:v>NA</x:v>
      </x:c>
      <x:c r="F30" s="11" t="n">
        <x:v>0</x:v>
      </x:c>
      <x:c r="G30" s="11" t="n">
        <x:v>-2</x:v>
      </x:c>
      <x:c r="H30" s="11" t="str">
        <x:v>NA</x:v>
      </x:c>
      <x:c r="I30" s="8" t="str">
        <x:v>节点重叠待拆分</x:v>
      </x:c>
      <x:c r="J30" s="8" t="str">
        <x:v>L2 explore接受序列：直接true / false后true / false后其他操作</x:v>
      </x:c>
      <x:c r="K30" s="8" t="str">
        <x:v>当前同一扇门无独立N2-4/N2-5标识；需节点拆分或确认合并、终态截止</x:v>
      </x:c>
      <x:c r="L30" s="8" t="str">
        <x:v>修订评分表!A27:H27</x:v>
      </x:c>
      <x:c r="M30" s="8" t="str"/>
    </x:row>
    <x:row r="31" ht="78" customHeight="1">
      <x:c r="A31" s="5" t="str">
        <x:v>V62-R28</x:v>
      </x:c>
      <x:c r="B31" s="5" t="str">
        <x:v>L2</x:v>
      </x:c>
      <x:c r="C31" s="5" t="str">
        <x:v>N09 半开的门（池）</x:v>
      </x:c>
      <x:c r="D31" s="5" t="str">
        <x:v>不进入，转去处理别的</x:v>
      </x:c>
      <x:c r="E31" s="10" t="str">
        <x:v>NA</x:v>
      </x:c>
      <x:c r="F31" s="10" t="n">
        <x:v>2</x:v>
      </x:c>
      <x:c r="G31" s="10" t="n">
        <x:v>1</x:v>
      </x:c>
      <x:c r="H31" s="10" t="str">
        <x:v>NA</x:v>
      </x:c>
      <x:c r="I31" s="5" t="str">
        <x:v>节点重叠待拆分</x:v>
      </x:c>
      <x:c r="J31" s="5" t="str">
        <x:v>L2 explore接受序列：直接true / false后true / false后其他操作</x:v>
      </x:c>
      <x:c r="K31" s="5" t="str">
        <x:v>当前同一扇门无独立N2-4/N2-5标识；需节点拆分或确认合并、终态截止</x:v>
      </x:c>
      <x:c r="L31" s="5" t="str">
        <x:v>修订评分表!A28:H28</x:v>
      </x:c>
      <x:c r="M31" s="5" t="str"/>
    </x:row>
    <x:row r="32" ht="78" customHeight="1">
      <x:c r="A32" s="8" t="str">
        <x:v>V62-R29</x:v>
      </x:c>
      <x:c r="B32" s="8" t="str">
        <x:v>L2</x:v>
      </x:c>
      <x:c r="C32" s="8" t="str">
        <x:v>N10 没有配对的耳环（池；点击触发，非 hover）</x:v>
      </x:c>
      <x:c r="D32" s="8" t="str">
        <x:v>不寻找</x:v>
      </x:c>
      <x:c r="E32" s="11" t="n">
        <x:v>-2</x:v>
      </x:c>
      <x:c r="F32" s="11" t="str">
        <x:v>NA</x:v>
      </x:c>
      <x:c r="G32" s="11" t="str">
        <x:v>NA</x:v>
      </x:c>
      <x:c r="H32" s="11" t="str">
        <x:v>NA</x:v>
      </x:c>
      <x:c r="I32" s="8" t="str">
        <x:v>可映射终态</x:v>
      </x:c>
      <x:c r="J32" s="8" t="str">
        <x:v>L2 search-choice yes=false；outcome.search.status=declined</x:v>
      </x:c>
      <x:c r="K32" s="8" t="str">
        <x:v>允许之后重新开始寻找，终态截止待定</x:v>
      </x:c>
      <x:c r="L32" s="8" t="str">
        <x:v>修订评分表!A29:H29</x:v>
      </x:c>
      <x:c r="M32" s="8" t="str">
        <x:v>只载 A；补全 &gt;=15 秒后离开的状态归入'持续寻找'；15 秒为初始阈值，建议按试玩搜寻时长中位数校准；hover 改为点击（手机无 hover）。原 F-2/F+3 冲突取消。</x:v>
      </x:c>
    </x:row>
    <x:row r="33" ht="78" customHeight="1">
      <x:c r="A33" s="5" t="str">
        <x:v>V62-R30</x:v>
      </x:c>
      <x:c r="B33" s="5" t="str">
        <x:v>L2</x:v>
      </x:c>
      <x:c r="C33" s="5" t="str">
        <x:v>N10 没有配对的耳环（池；点击触发，非 hover）</x:v>
      </x:c>
      <x:c r="D33" s="5" t="str">
        <x:v>寻找 &lt;15 秒后放弃</x:v>
      </x:c>
      <x:c r="E33" s="10" t="n">
        <x:v>0</x:v>
      </x:c>
      <x:c r="F33" s="10" t="str">
        <x:v>NA</x:v>
      </x:c>
      <x:c r="G33" s="10" t="str">
        <x:v>NA</x:v>
      </x:c>
      <x:c r="H33" s="10" t="str">
        <x:v>NA</x:v>
      </x:c>
      <x:c r="I33" s="5" t="str">
        <x:v>有事实但边界待定</x:v>
      </x:c>
      <x:c r="J33" s="5" t="str">
        <x:v>L2 return-hall 且 search.status=returned、activeMs&lt;15000</x:v>
      </x:c>
      <x:c r="K33" s="5" t="str">
        <x:v>时长是有墙钟上界的客户端报告；timing_verified=false；找到后离开不属于放弃</x:v>
      </x:c>
      <x:c r="L33" s="5" t="str">
        <x:v>修订评分表!A30:H30</x:v>
      </x:c>
      <x:c r="M33" s="5" t="str"/>
    </x:row>
    <x:row r="34" ht="78" customHeight="1">
      <x:c r="A34" s="8" t="str">
        <x:v>V62-R31</x:v>
      </x:c>
      <x:c r="B34" s="8" t="str">
        <x:v>L2</x:v>
      </x:c>
      <x:c r="C34" s="8" t="str">
        <x:v>N10 没有配对的耳环（池；点击触发，非 hover）</x:v>
      </x:c>
      <x:c r="D34" s="8" t="str">
        <x:v>持续寻找 &gt;=15 秒</x:v>
      </x:c>
      <x:c r="E34" s="11" t="n">
        <x:v>2</x:v>
      </x:c>
      <x:c r="F34" s="11" t="str">
        <x:v>NA</x:v>
      </x:c>
      <x:c r="G34" s="11" t="str">
        <x:v>NA</x:v>
      </x:c>
      <x:c r="H34" s="11" t="str">
        <x:v>NA</x:v>
      </x:c>
      <x:c r="I34" s="8" t="str">
        <x:v>阈值冲突</x:v>
      </x:c>
      <x:c r="J34" s="8" t="str">
        <x:v>L2 search-time / return-hall / curtain-click；search.activeMs/status</x:v>
      </x:c>
      <x:c r="K34" s="8" t="str">
        <x:v>V6.2 &gt;=15000；当前long用&gt;15000；找到耳环但不足15秒没有对应选项；不得直接照搬long标志</x:v>
      </x:c>
      <x:c r="L34" s="8" t="str">
        <x:v>修订评分表!A31:H31</x:v>
      </x:c>
      <x:c r="M34" s="8" t="str"/>
    </x:row>
    <x:row r="35" ht="78" customHeight="1">
      <x:c r="A35" s="5" t="str">
        <x:v>V62-R32</x:v>
      </x:c>
      <x:c r="B35" s="5" t="str">
        <x:v>L2</x:v>
      </x:c>
      <x:c r="C35" s="5" t="str">
        <x:v>N11 重摆沙发椅子：靠墙/窗程度（池，连续指标按四分位计）</x:v>
      </x:c>
      <x:c r="D35" s="5" t="str">
        <x:v>靠墙/窗程度 最高四分位</x:v>
      </x:c>
      <x:c r="E35" s="10" t="n">
        <x:v>2</x:v>
      </x:c>
      <x:c r="F35" s="10" t="str">
        <x:v>NA</x:v>
      </x:c>
      <x:c r="G35" s="10" t="str">
        <x:v>NA</x:v>
      </x:c>
      <x:c r="H35" s="10" t="str">
        <x:v>NA</x:v>
      </x:c>
      <x:c r="I35" s="5" t="str">
        <x:v>缺指标与常模</x:v>
      </x:c>
      <x:c r="J35" s="5" t="str">
        <x:v>L2 layout-confirm: layout、classification.placements、movedIds</x:v>
      </x:c>
      <x:c r="K35" s="5" t="str">
        <x:v>没有墙/窗距离连续指标及四分位边界；现有openPlacement不是分位；当前4件非附件所述5件</x:v>
      </x:c>
      <x:c r="L35" s="5" t="str">
        <x:v>修订评分表!A32:H32</x:v>
      </x:c>
      <x:c r="M35" s="5" t="str">
        <x:v>原 2×3 分类无法处理 5 件物品混合摆放，且与备注矛盾（'空旷=真我高'但 T=-2）。改为三个连续指标，按试玩四分位计分：本行为靠墙/窗程度→A。</x:v>
      </x:c>
    </x:row>
    <x:row r="36" ht="78" customHeight="1">
      <x:c r="A36" s="8" t="str">
        <x:v>V62-R33</x:v>
      </x:c>
      <x:c r="B36" s="8" t="str">
        <x:v>L2</x:v>
      </x:c>
      <x:c r="C36" s="8" t="str">
        <x:v>N11 重摆沙发椅子：靠墙/窗程度（池，连续指标按四分位计）</x:v>
      </x:c>
      <x:c r="D36" s="8" t="str">
        <x:v>次高四分位</x:v>
      </x:c>
      <x:c r="E36" s="11" t="n">
        <x:v>1</x:v>
      </x:c>
      <x:c r="F36" s="11" t="str">
        <x:v>NA</x:v>
      </x:c>
      <x:c r="G36" s="11" t="str">
        <x:v>NA</x:v>
      </x:c>
      <x:c r="H36" s="11" t="str">
        <x:v>NA</x:v>
      </x:c>
      <x:c r="I36" s="8" t="str">
        <x:v>缺指标与常模</x:v>
      </x:c>
      <x:c r="J36" s="8" t="str">
        <x:v>L2 layout-confirm: layout、classification.placements、movedIds</x:v>
      </x:c>
      <x:c r="K36" s="8" t="str">
        <x:v>没有墙/窗距离连续指标及四分位边界；现有openPlacement不是分位；当前4件非附件所述5件</x:v>
      </x:c>
      <x:c r="L36" s="8" t="str">
        <x:v>修订评分表!A33:H33</x:v>
      </x:c>
      <x:c r="M36" s="8" t="str"/>
    </x:row>
    <x:row r="37" ht="78" customHeight="1">
      <x:c r="A37" s="5" t="str">
        <x:v>V62-R34</x:v>
      </x:c>
      <x:c r="B37" s="5" t="str">
        <x:v>L2</x:v>
      </x:c>
      <x:c r="C37" s="5" t="str">
        <x:v>N11 重摆沙发椅子：靠墙/窗程度（池，连续指标按四分位计）</x:v>
      </x:c>
      <x:c r="D37" s="5" t="str">
        <x:v>次低四分位</x:v>
      </x:c>
      <x:c r="E37" s="10" t="n">
        <x:v>-1</x:v>
      </x:c>
      <x:c r="F37" s="10" t="str">
        <x:v>NA</x:v>
      </x:c>
      <x:c r="G37" s="10" t="str">
        <x:v>NA</x:v>
      </x:c>
      <x:c r="H37" s="10" t="str">
        <x:v>NA</x:v>
      </x:c>
      <x:c r="I37" s="5" t="str">
        <x:v>缺指标与常模</x:v>
      </x:c>
      <x:c r="J37" s="5" t="str">
        <x:v>L2 layout-confirm: layout、classification.placements、movedIds</x:v>
      </x:c>
      <x:c r="K37" s="5" t="str">
        <x:v>没有墙/窗距离连续指标及四分位边界；现有openPlacement不是分位；当前4件非附件所述5件</x:v>
      </x:c>
      <x:c r="L37" s="5" t="str">
        <x:v>修订评分表!A34:H34</x:v>
      </x:c>
      <x:c r="M37" s="5" t="str"/>
    </x:row>
    <x:row r="38" ht="78" customHeight="1">
      <x:c r="A38" s="8" t="str">
        <x:v>V62-R35</x:v>
      </x:c>
      <x:c r="B38" s="8" t="str">
        <x:v>L2</x:v>
      </x:c>
      <x:c r="C38" s="8" t="str">
        <x:v>N11 重摆沙发椅子：靠墙/窗程度（池，连续指标按四分位计）</x:v>
      </x:c>
      <x:c r="D38" s="8" t="str">
        <x:v>最低四分位（多在空旷处）</x:v>
      </x:c>
      <x:c r="E38" s="11" t="n">
        <x:v>-2</x:v>
      </x:c>
      <x:c r="F38" s="11" t="str">
        <x:v>NA</x:v>
      </x:c>
      <x:c r="G38" s="11" t="str">
        <x:v>NA</x:v>
      </x:c>
      <x:c r="H38" s="11" t="str">
        <x:v>NA</x:v>
      </x:c>
      <x:c r="I38" s="8" t="str">
        <x:v>缺指标与常模</x:v>
      </x:c>
      <x:c r="J38" s="8" t="str">
        <x:v>L2 layout-confirm: layout、classification.placements、movedIds</x:v>
      </x:c>
      <x:c r="K38" s="8" t="str">
        <x:v>没有墙/窗距离连续指标及四分位边界；现有openPlacement不是分位；当前4件非附件所述5件</x:v>
      </x:c>
      <x:c r="L38" s="8" t="str">
        <x:v>修订评分表!A35:H35</x:v>
      </x:c>
      <x:c r="M38" s="8" t="str"/>
    </x:row>
    <x:row r="39" ht="78" customHeight="1">
      <x:c r="A39" s="5" t="str">
        <x:v>V62-R36</x:v>
      </x:c>
      <x:c r="B39" s="5" t="str">
        <x:v>L2</x:v>
      </x:c>
      <x:c r="C39" s="5" t="str">
        <x:v>N12 重摆沙发椅子：整齐度（池，四分位）</x:v>
      </x:c>
      <x:c r="D39" s="5" t="str">
        <x:v>整齐度 最高四分位</x:v>
      </x:c>
      <x:c r="E39" s="10" t="str">
        <x:v>NA</x:v>
      </x:c>
      <x:c r="F39" s="10" t="str">
        <x:v>NA</x:v>
      </x:c>
      <x:c r="G39" s="10" t="str">
        <x:v>NA</x:v>
      </x:c>
      <x:c r="H39" s="10" t="n">
        <x:v>2</x:v>
      </x:c>
      <x:c r="I39" s="5" t="str">
        <x:v>缺指标与常模</x:v>
      </x:c>
      <x:c r="J39" s="5" t="str">
        <x:v>L2 layout-confirm: classification.reasonable/tidy、layout</x:v>
      </x:c>
      <x:c r="K39" s="5" t="str">
        <x:v>tidy是合理且移动过，非朝向与间距整齐度；无旋转字段、无样本四分位</x:v>
      </x:c>
      <x:c r="L39" s="5" t="str">
        <x:v>修订评分表!A36:H36</x:v>
      </x:c>
      <x:c r="M39" s="5" t="str">
        <x:v>整齐度→F（收尾/整理）。计算方法：物件朝向与间距的规整程度（开发按试玩定义）。</x:v>
      </x:c>
    </x:row>
    <x:row r="40" ht="78" customHeight="1">
      <x:c r="A40" s="8" t="str">
        <x:v>V62-R37</x:v>
      </x:c>
      <x:c r="B40" s="8" t="str">
        <x:v>L2</x:v>
      </x:c>
      <x:c r="C40" s="8" t="str">
        <x:v>N12 重摆沙发椅子：整齐度（池，四分位）</x:v>
      </x:c>
      <x:c r="D40" s="8" t="str">
        <x:v>次高四分位</x:v>
      </x:c>
      <x:c r="E40" s="11" t="str">
        <x:v>NA</x:v>
      </x:c>
      <x:c r="F40" s="11" t="str">
        <x:v>NA</x:v>
      </x:c>
      <x:c r="G40" s="11" t="str">
        <x:v>NA</x:v>
      </x:c>
      <x:c r="H40" s="11" t="n">
        <x:v>1</x:v>
      </x:c>
      <x:c r="I40" s="8" t="str">
        <x:v>缺指标与常模</x:v>
      </x:c>
      <x:c r="J40" s="8" t="str">
        <x:v>L2 layout-confirm: classification.reasonable/tidy、layout</x:v>
      </x:c>
      <x:c r="K40" s="8" t="str">
        <x:v>tidy是合理且移动过，非朝向与间距整齐度；无旋转字段、无样本四分位</x:v>
      </x:c>
      <x:c r="L40" s="8" t="str">
        <x:v>修订评分表!A37:H37</x:v>
      </x:c>
      <x:c r="M40" s="8" t="str"/>
    </x:row>
    <x:row r="41" ht="78" customHeight="1">
      <x:c r="A41" s="5" t="str">
        <x:v>V62-R38</x:v>
      </x:c>
      <x:c r="B41" s="5" t="str">
        <x:v>L2</x:v>
      </x:c>
      <x:c r="C41" s="5" t="str">
        <x:v>N12 重摆沙发椅子：整齐度（池，四分位）</x:v>
      </x:c>
      <x:c r="D41" s="5" t="str">
        <x:v>次低四分位</x:v>
      </x:c>
      <x:c r="E41" s="10" t="str">
        <x:v>NA</x:v>
      </x:c>
      <x:c r="F41" s="10" t="str">
        <x:v>NA</x:v>
      </x:c>
      <x:c r="G41" s="10" t="str">
        <x:v>NA</x:v>
      </x:c>
      <x:c r="H41" s="10" t="n">
        <x:v>-1</x:v>
      </x:c>
      <x:c r="I41" s="5" t="str">
        <x:v>缺指标与常模</x:v>
      </x:c>
      <x:c r="J41" s="5" t="str">
        <x:v>L2 layout-confirm: classification.reasonable/tidy、layout</x:v>
      </x:c>
      <x:c r="K41" s="5" t="str">
        <x:v>tidy是合理且移动过，非朝向与间距整齐度；无旋转字段、无样本四分位</x:v>
      </x:c>
      <x:c r="L41" s="5" t="str">
        <x:v>修订评分表!A38:H38</x:v>
      </x:c>
      <x:c r="M41" s="5" t="str"/>
    </x:row>
    <x:row r="42" ht="78" customHeight="1">
      <x:c r="A42" s="8" t="str">
        <x:v>V62-R39</x:v>
      </x:c>
      <x:c r="B42" s="8" t="str">
        <x:v>L2</x:v>
      </x:c>
      <x:c r="C42" s="8" t="str">
        <x:v>N12 重摆沙发椅子：整齐度（池，四分位）</x:v>
      </x:c>
      <x:c r="D42" s="8" t="str">
        <x:v>最低四分位</x:v>
      </x:c>
      <x:c r="E42" s="11" t="str">
        <x:v>NA</x:v>
      </x:c>
      <x:c r="F42" s="11" t="str">
        <x:v>NA</x:v>
      </x:c>
      <x:c r="G42" s="11" t="str">
        <x:v>NA</x:v>
      </x:c>
      <x:c r="H42" s="11" t="n">
        <x:v>-2</x:v>
      </x:c>
      <x:c r="I42" s="8" t="str">
        <x:v>缺指标与常模</x:v>
      </x:c>
      <x:c r="J42" s="8" t="str">
        <x:v>L2 layout-confirm: classification.reasonable/tidy、layout</x:v>
      </x:c>
      <x:c r="K42" s="8" t="str">
        <x:v>tidy是合理且移动过，非朝向与间距整齐度；无旋转字段、无样本四分位</x:v>
      </x:c>
      <x:c r="L42" s="8" t="str">
        <x:v>修订评分表!A39:H39</x:v>
      </x:c>
      <x:c r="M42" s="8" t="str"/>
    </x:row>
    <x:row r="43" ht="78" customHeight="1">
      <x:c r="A43" s="5" t="str">
        <x:v>V62-R40</x:v>
      </x:c>
      <x:c r="B43" s="5" t="str">
        <x:v>L2</x:v>
      </x:c>
      <x:c r="C43" s="5" t="str">
        <x:v>N13 重摆沙发椅子：调整次数（池，四分位）</x:v>
      </x:c>
      <x:c r="D43" s="5" t="str">
        <x:v>调整次数 最少四分位（一步到位）</x:v>
      </x:c>
      <x:c r="E43" s="10" t="str">
        <x:v>NA</x:v>
      </x:c>
      <x:c r="F43" s="10" t="str">
        <x:v>NA</x:v>
      </x:c>
      <x:c r="G43" s="10" t="n">
        <x:v>2</x:v>
      </x:c>
      <x:c r="H43" s="10" t="str">
        <x:v>NA</x:v>
      </x:c>
      <x:c r="I43" s="5" t="str">
        <x:v>可计数但缺常模</x:v>
      </x:c>
      <x:c r="J43" s="5" t="str">
        <x:v>L2 接受的layout-move/reset/undo历史；同ID去重</x:v>
      </x:c>
      <x:c r="K43" s="5" t="str">
        <x:v>需明确移动手势/撤销/重置如何算调整次数及统计范围；furniture.history最多50条，应用完整events；缺四分位</x:v>
      </x:c>
      <x:c r="L43" s="5" t="str">
        <x:v>修订评分表!A40:H40</x:v>
      </x:c>
      <x:c r="M43" s="5" t="str">
        <x:v>调整次数→T（是否一步到位、不反复改动）。'靠近床'无对应物件，删除；不再宣称可测'是否自在'。</x:v>
      </x:c>
    </x:row>
    <x:row r="44" ht="78" customHeight="1">
      <x:c r="A44" s="8" t="str">
        <x:v>V62-R41</x:v>
      </x:c>
      <x:c r="B44" s="8" t="str">
        <x:v>L2</x:v>
      </x:c>
      <x:c r="C44" s="8" t="str">
        <x:v>N13 重摆沙发椅子：调整次数（池，四分位）</x:v>
      </x:c>
      <x:c r="D44" s="8" t="str">
        <x:v>次少四分位</x:v>
      </x:c>
      <x:c r="E44" s="11" t="str">
        <x:v>NA</x:v>
      </x:c>
      <x:c r="F44" s="11" t="str">
        <x:v>NA</x:v>
      </x:c>
      <x:c r="G44" s="11" t="n">
        <x:v>1</x:v>
      </x:c>
      <x:c r="H44" s="11" t="str">
        <x:v>NA</x:v>
      </x:c>
      <x:c r="I44" s="8" t="str">
        <x:v>可计数但缺常模</x:v>
      </x:c>
      <x:c r="J44" s="8" t="str">
        <x:v>L2 接受的layout-move/reset/undo历史；同ID去重</x:v>
      </x:c>
      <x:c r="K44" s="8" t="str">
        <x:v>需明确移动手势/撤销/重置如何算调整次数及统计范围；furniture.history最多50条，应用完整events；缺四分位</x:v>
      </x:c>
      <x:c r="L44" s="8" t="str">
        <x:v>修订评分表!A41:H41</x:v>
      </x:c>
      <x:c r="M44" s="8" t="str"/>
    </x:row>
    <x:row r="45" ht="78" customHeight="1">
      <x:c r="A45" s="5" t="str">
        <x:v>V62-R42</x:v>
      </x:c>
      <x:c r="B45" s="5" t="str">
        <x:v>L2</x:v>
      </x:c>
      <x:c r="C45" s="5" t="str">
        <x:v>N13 重摆沙发椅子：调整次数（池，四分位）</x:v>
      </x:c>
      <x:c r="D45" s="5" t="str">
        <x:v>次多四分位</x:v>
      </x:c>
      <x:c r="E45" s="10" t="str">
        <x:v>NA</x:v>
      </x:c>
      <x:c r="F45" s="10" t="str">
        <x:v>NA</x:v>
      </x:c>
      <x:c r="G45" s="10" t="n">
        <x:v>-1</x:v>
      </x:c>
      <x:c r="H45" s="10" t="str">
        <x:v>NA</x:v>
      </x:c>
      <x:c r="I45" s="5" t="str">
        <x:v>可计数但缺常模</x:v>
      </x:c>
      <x:c r="J45" s="5" t="str">
        <x:v>L2 接受的layout-move/reset/undo历史；同ID去重</x:v>
      </x:c>
      <x:c r="K45" s="5" t="str">
        <x:v>需明确移动手势/撤销/重置如何算调整次数及统计范围；furniture.history最多50条，应用完整events；缺四分位</x:v>
      </x:c>
      <x:c r="L45" s="5" t="str">
        <x:v>修订评分表!A42:H42</x:v>
      </x:c>
      <x:c r="M45" s="5" t="str"/>
    </x:row>
    <x:row r="46" ht="78" customHeight="1">
      <x:c r="A46" s="8" t="str">
        <x:v>V62-R43</x:v>
      </x:c>
      <x:c r="B46" s="8" t="str">
        <x:v>L2</x:v>
      </x:c>
      <x:c r="C46" s="8" t="str">
        <x:v>N13 重摆沙发椅子：调整次数（池，四分位）</x:v>
      </x:c>
      <x:c r="D46" s="8" t="str">
        <x:v>最多四分位（反复挪动）</x:v>
      </x:c>
      <x:c r="E46" s="11" t="str">
        <x:v>NA</x:v>
      </x:c>
      <x:c r="F46" s="11" t="str">
        <x:v>NA</x:v>
      </x:c>
      <x:c r="G46" s="11" t="n">
        <x:v>-2</x:v>
      </x:c>
      <x:c r="H46" s="11" t="str">
        <x:v>NA</x:v>
      </x:c>
      <x:c r="I46" s="8" t="str">
        <x:v>可计数但缺常模</x:v>
      </x:c>
      <x:c r="J46" s="8" t="str">
        <x:v>L2 接受的layout-move/reset/undo历史；同ID去重</x:v>
      </x:c>
      <x:c r="K46" s="8" t="str">
        <x:v>需明确移动手势/撤销/重置如何算调整次数及统计范围；furniture.history最多50条，应用完整events；缺四分位</x:v>
      </x:c>
      <x:c r="L46" s="8" t="str">
        <x:v>修订评分表!A43:H43</x:v>
      </x:c>
      <x:c r="M46" s="8" t="str"/>
    </x:row>
    <x:row r="47" ht="78" customHeight="1">
      <x:c r="A47" s="5" t="str">
        <x:v>V62-R44</x:v>
      </x:c>
      <x:c r="B47" s="5" t="str">
        <x:v>L3</x:v>
      </x:c>
      <x:c r="C47" s="5" t="str">
        <x:v>N14 半开的门与风暴（风暴无论选择都会来临）</x:v>
      </x:c>
      <x:c r="D47" s="5" t="str">
        <x:v>不打开，保持半开</x:v>
      </x:c>
      <x:c r="E47" s="10" t="str">
        <x:v>NA</x:v>
      </x:c>
      <x:c r="F47" s="10" t="n">
        <x:v>2</x:v>
      </x:c>
      <x:c r="G47" s="10" t="n">
        <x:v>1</x:v>
      </x:c>
      <x:c r="H47" s="10" t="str">
        <x:v>NA</x:v>
      </x:c>
      <x:c r="I47" s="5" t="str">
        <x:v>可映射但有额外组合</x:v>
      </x:c>
      <x:c r="J47" s="5" t="str">
        <x:v>L3 choices.open/close 终态 + 接受事件序列</x:v>
      </x:c>
      <x:c r="K47" s="5" t="str">
        <x:v>常规false/false、true/false、true/true可匹配；本地允许open=false且close=true，V6.2没有第四组合；风暴六个回答仍独立</x:v>
      </x:c>
      <x:c r="L47" s="5" t="str">
        <x:v>修订评分表!A44:H44</x:v>
      </x:c>
      <x:c r="M47" s="5" t="str">
        <x:v>三个互斥终态；风暴无论选择都来临（消除'关上才触发风暴'的因果矛盾，且 L2 结尾已听到风雨）；删除 (+2,+2,+2,+2) 四维同号向量；F 不载以保持 V/T 正交。</x:v>
      </x:c>
    </x:row>
    <x:row r="48" ht="78" customHeight="1">
      <x:c r="A48" s="8" t="str">
        <x:v>V62-R45</x:v>
      </x:c>
      <x:c r="B48" s="8" t="str">
        <x:v>L3</x:v>
      </x:c>
      <x:c r="C48" s="8" t="str">
        <x:v>N14 半开的门与风暴（风暴无论选择都会来临）</x:v>
      </x:c>
      <x:c r="D48" s="8" t="str">
        <x:v>打开并保持</x:v>
      </x:c>
      <x:c r="E48" s="11" t="str">
        <x:v>NA</x:v>
      </x:c>
      <x:c r="F48" s="11" t="n">
        <x:v>-2</x:v>
      </x:c>
      <x:c r="G48" s="11" t="n">
        <x:v>1</x:v>
      </x:c>
      <x:c r="H48" s="11" t="str">
        <x:v>NA</x:v>
      </x:c>
      <x:c r="I48" s="8" t="str">
        <x:v>可映射但有额外组合</x:v>
      </x:c>
      <x:c r="J48" s="8" t="str">
        <x:v>L3 choices.open/close 终态 + 接受事件序列</x:v>
      </x:c>
      <x:c r="K48" s="8" t="str">
        <x:v>常规false/false、true/false、true/true可匹配；本地允许open=false且close=true，V6.2没有第四组合；风暴六个回答仍独立</x:v>
      </x:c>
      <x:c r="L48" s="8" t="str">
        <x:v>修订评分表!A45:H45</x:v>
      </x:c>
      <x:c r="M48" s="8" t="str"/>
    </x:row>
    <x:row r="49" ht="78" customHeight="1">
      <x:c r="A49" s="5" t="str">
        <x:v>V62-R46</x:v>
      </x:c>
      <x:c r="B49" s="5" t="str">
        <x:v>L3</x:v>
      </x:c>
      <x:c r="C49" s="5" t="str">
        <x:v>N14 半开的门与风暴（风暴无论选择都会来临）</x:v>
      </x:c>
      <x:c r="D49" s="5" t="str">
        <x:v>打开后又关上（摆动）</x:v>
      </x:c>
      <x:c r="E49" s="10" t="str">
        <x:v>NA</x:v>
      </x:c>
      <x:c r="F49" s="10" t="n">
        <x:v>0</x:v>
      </x:c>
      <x:c r="G49" s="10" t="n">
        <x:v>-2</x:v>
      </x:c>
      <x:c r="H49" s="10" t="str">
        <x:v>NA</x:v>
      </x:c>
      <x:c r="I49" s="5" t="str">
        <x:v>可映射但有额外组合</x:v>
      </x:c>
      <x:c r="J49" s="5" t="str">
        <x:v>L3 choices.open/close 终态 + 接受事件序列</x:v>
      </x:c>
      <x:c r="K49" s="5" t="str">
        <x:v>常规false/false、true/false、true/true可匹配；本地允许open=false且close=true，V6.2没有第四组合；风暴六个回答仍独立</x:v>
      </x:c>
      <x:c r="L49" s="5" t="str">
        <x:v>修订评分表!A46:H46</x:v>
      </x:c>
      <x:c r="M49" s="5" t="str"/>
    </x:row>
    <x:row r="50" ht="78" customHeight="1">
      <x:c r="A50" s="8" t="str">
        <x:v>V62-R47</x:v>
      </x:c>
      <x:c r="B50" s="8" t="str">
        <x:v>L3</x:v>
      </x:c>
      <x:c r="C50" s="8" t="str">
        <x:v>N15 坐稳等待</x:v>
      </x:c>
      <x:c r="D50" s="8" t="str">
        <x:v>坐在沙发等待</x:v>
      </x:c>
      <x:c r="E50" s="11" t="n">
        <x:v>1</x:v>
      </x:c>
      <x:c r="F50" s="11" t="str">
        <x:v>NA</x:v>
      </x:c>
      <x:c r="G50" s="11" t="str">
        <x:v>NA</x:v>
      </x:c>
      <x:c r="H50" s="11" t="str">
        <x:v>NA</x:v>
      </x:c>
      <x:c r="I50" s="8" t="str">
        <x:v>可映射终态</x:v>
      </x:c>
      <x:c r="J50" s="8" t="str">
        <x:v>L3 decision slot=wait yes=true/false；outcome.choices.wait</x:v>
      </x:c>
      <x:c r="K50" s="8" t="str">
        <x:v>重复false回执ALREADY_RECORDED不重复记分；false可改true，取终态</x:v>
      </x:c>
      <x:c r="L50" s="8" t="str">
        <x:v>修订评分表!A47:H47</x:v>
      </x:c>
      <x:c r="M50" s="8" t="str">
        <x:v>只载 A（等待回应的倾向）。</x:v>
      </x:c>
    </x:row>
    <x:row r="51" ht="78" customHeight="1">
      <x:c r="A51" s="5" t="str">
        <x:v>V62-R48</x:v>
      </x:c>
      <x:c r="B51" s="5" t="str">
        <x:v>L3</x:v>
      </x:c>
      <x:c r="C51" s="5" t="str">
        <x:v>N15 坐稳等待</x:v>
      </x:c>
      <x:c r="D51" s="5" t="str">
        <x:v>不等待，继续行动</x:v>
      </x:c>
      <x:c r="E51" s="10" t="n">
        <x:v>-1</x:v>
      </x:c>
      <x:c r="F51" s="10" t="str">
        <x:v>NA</x:v>
      </x:c>
      <x:c r="G51" s="10" t="str">
        <x:v>NA</x:v>
      </x:c>
      <x:c r="H51" s="10" t="str">
        <x:v>NA</x:v>
      </x:c>
      <x:c r="I51" s="5" t="str">
        <x:v>可映射终态</x:v>
      </x:c>
      <x:c r="J51" s="5" t="str">
        <x:v>L3 decision slot=wait yes=true/false；outcome.choices.wait</x:v>
      </x:c>
      <x:c r="K51" s="5" t="str">
        <x:v>重复false回执ALREADY_RECORDED不重复记分；false可改true，取终态</x:v>
      </x:c>
      <x:c r="L51" s="5" t="str">
        <x:v>修订评分表!A48:H48</x:v>
      </x:c>
      <x:c r="M51" s="5" t="str"/>
    </x:row>
    <x:row r="52" ht="78" customHeight="1">
      <x:c r="A52" s="8" t="str">
        <x:v>V62-R49</x:v>
      </x:c>
      <x:c r="B52" s="8" t="str">
        <x:v>L3</x:v>
      </x:c>
      <x:c r="C52" s="8" t="str">
        <x:v>N16 右窗窗帘（环境控制）</x:v>
      </x:c>
      <x:c r="D52" s="8" t="str">
        <x:v>拉开窗帘，看清风暴</x:v>
      </x:c>
      <x:c r="E52" s="11" t="str">
        <x:v>NA</x:v>
      </x:c>
      <x:c r="F52" s="11" t="n">
        <x:v>-1</x:v>
      </x:c>
      <x:c r="G52" s="11" t="str">
        <x:v>NA</x:v>
      </x:c>
      <x:c r="H52" s="11" t="str">
        <x:v>NA</x:v>
      </x:c>
      <x:c r="I52" s="8" t="str">
        <x:v>可映射终态</x:v>
      </x:c>
      <x:c r="J52" s="8" t="str">
        <x:v>L3 decision slot=curtain yes=true/false；outcome.choices.curtain</x:v>
      </x:c>
      <x:c r="K52" s="8" t="str">
        <x:v>按终态取一次</x:v>
      </x:c>
      <x:c r="L52" s="8" t="str">
        <x:v>修订评分表!A49:H49</x:v>
      </x:c>
      <x:c r="M52" s="8" t="str">
        <x:v>窗帘/左窗/风扇三项'环境控制'原各载四维，本质是同一变量计三次。拆分：窗帘→V（面对/遮挡），层级 E。</x:v>
      </x:c>
    </x:row>
    <x:row r="53" ht="78" customHeight="1">
      <x:c r="A53" s="5" t="str">
        <x:v>V62-R50</x:v>
      </x:c>
      <x:c r="B53" s="5" t="str">
        <x:v>L3</x:v>
      </x:c>
      <x:c r="C53" s="5" t="str">
        <x:v>N16 右窗窗帘（环境控制）</x:v>
      </x:c>
      <x:c r="D53" s="5" t="str">
        <x:v>留帘作屏障</x:v>
      </x:c>
      <x:c r="E53" s="10" t="str">
        <x:v>NA</x:v>
      </x:c>
      <x:c r="F53" s="10" t="n">
        <x:v>1</x:v>
      </x:c>
      <x:c r="G53" s="10" t="str">
        <x:v>NA</x:v>
      </x:c>
      <x:c r="H53" s="10" t="str">
        <x:v>NA</x:v>
      </x:c>
      <x:c r="I53" s="5" t="str">
        <x:v>可映射终态</x:v>
      </x:c>
      <x:c r="J53" s="5" t="str">
        <x:v>L3 decision slot=curtain yes=true/false；outcome.choices.curtain</x:v>
      </x:c>
      <x:c r="K53" s="5" t="str">
        <x:v>按终态取一次</x:v>
      </x:c>
      <x:c r="L53" s="5" t="str">
        <x:v>修订评分表!A50:H50</x:v>
      </x:c>
      <x:c r="M53" s="5" t="str"/>
    </x:row>
    <x:row r="54" ht="78" customHeight="1">
      <x:c r="A54" s="8" t="str">
        <x:v>V62-R51</x:v>
      </x:c>
      <x:c r="B54" s="8" t="str">
        <x:v>L3</x:v>
      </x:c>
      <x:c r="C54" s="8" t="str">
        <x:v>N17 左窗与风扇电源（环境控制，合并为收尾度）</x:v>
      </x:c>
      <x:c r="D54" s="8" t="str">
        <x:v>关窗 + 关风扇</x:v>
      </x:c>
      <x:c r="E54" s="11" t="str">
        <x:v>NA</x:v>
      </x:c>
      <x:c r="F54" s="11" t="str">
        <x:v>NA</x:v>
      </x:c>
      <x:c r="G54" s="11" t="str">
        <x:v>NA</x:v>
      </x:c>
      <x:c r="H54" s="11" t="n">
        <x:v>2</x:v>
      </x:c>
      <x:c r="I54" s="8" t="str">
        <x:v>道具语义冲突</x:v>
      </x:c>
      <x:c r="J54" s="8" t="str">
        <x:v>L3 choices.window 和 choices.television</x:v>
      </x:c>
      <x:c r="K54" s="8" t="str">
        <x:v>V6.2写风扇；代码是电视机；不能擅自将电视当风扇套F分值</x:v>
      </x:c>
      <x:c r="L54" s="8" t="str">
        <x:v>修订评分表!A51:H51</x:v>
      </x:c>
      <x:c r="M54" s="8" t="str">
        <x:v>左窗+风扇合并为收尾度→F，层级 E；消除'打开后不关门 F+2'与'窗继续开着 F-2'的方向矛盾。</x:v>
      </x:c>
    </x:row>
    <x:row r="55" ht="78" customHeight="1">
      <x:c r="A55" s="5" t="str">
        <x:v>V62-R52</x:v>
      </x:c>
      <x:c r="B55" s="5" t="str">
        <x:v>L3</x:v>
      </x:c>
      <x:c r="C55" s="5" t="str">
        <x:v>N17 左窗与风扇电源（环境控制，合并为收尾度）</x:v>
      </x:c>
      <x:c r="D55" s="5" t="str">
        <x:v>关窗，不关风扇</x:v>
      </x:c>
      <x:c r="E55" s="10" t="str">
        <x:v>NA</x:v>
      </x:c>
      <x:c r="F55" s="10" t="str">
        <x:v>NA</x:v>
      </x:c>
      <x:c r="G55" s="10" t="str">
        <x:v>NA</x:v>
      </x:c>
      <x:c r="H55" s="10" t="n">
        <x:v>0</x:v>
      </x:c>
      <x:c r="I55" s="5" t="str">
        <x:v>道具语义冲突</x:v>
      </x:c>
      <x:c r="J55" s="5" t="str">
        <x:v>L3 choices.window 和 choices.television</x:v>
      </x:c>
      <x:c r="K55" s="5" t="str">
        <x:v>V6.2写风扇；代码是电视机；不能擅自将电视当风扇套F分值</x:v>
      </x:c>
      <x:c r="L55" s="5" t="str">
        <x:v>修订评分表!A52:H52</x:v>
      </x:c>
      <x:c r="M55" s="5" t="str"/>
    </x:row>
    <x:row r="56" ht="78" customHeight="1">
      <x:c r="A56" s="8" t="str">
        <x:v>V62-R53</x:v>
      </x:c>
      <x:c r="B56" s="8" t="str">
        <x:v>L3</x:v>
      </x:c>
      <x:c r="C56" s="8" t="str">
        <x:v>N17 左窗与风扇电源（环境控制，合并为收尾度）</x:v>
      </x:c>
      <x:c r="D56" s="8" t="str">
        <x:v>不关窗，关风扇</x:v>
      </x:c>
      <x:c r="E56" s="11" t="str">
        <x:v>NA</x:v>
      </x:c>
      <x:c r="F56" s="11" t="str">
        <x:v>NA</x:v>
      </x:c>
      <x:c r="G56" s="11" t="str">
        <x:v>NA</x:v>
      </x:c>
      <x:c r="H56" s="11" t="n">
        <x:v>0</x:v>
      </x:c>
      <x:c r="I56" s="8" t="str">
        <x:v>道具语义冲突</x:v>
      </x:c>
      <x:c r="J56" s="8" t="str">
        <x:v>L3 choices.window 和 choices.television</x:v>
      </x:c>
      <x:c r="K56" s="8" t="str">
        <x:v>V6.2写风扇；代码是电视机；不能擅自将电视当风扇套F分值</x:v>
      </x:c>
      <x:c r="L56" s="8" t="str">
        <x:v>修订评分表!A53:H53</x:v>
      </x:c>
      <x:c r="M56" s="8" t="str"/>
    </x:row>
    <x:row r="57" ht="78" customHeight="1">
      <x:c r="A57" s="5" t="str">
        <x:v>V62-R54</x:v>
      </x:c>
      <x:c r="B57" s="5" t="str">
        <x:v>L3</x:v>
      </x:c>
      <x:c r="C57" s="5" t="str">
        <x:v>N17 左窗与风扇电源（环境控制，合并为收尾度）</x:v>
      </x:c>
      <x:c r="D57" s="5" t="str">
        <x:v>都不关</x:v>
      </x:c>
      <x:c r="E57" s="10" t="str">
        <x:v>NA</x:v>
      </x:c>
      <x:c r="F57" s="10" t="str">
        <x:v>NA</x:v>
      </x:c>
      <x:c r="G57" s="10" t="str">
        <x:v>NA</x:v>
      </x:c>
      <x:c r="H57" s="10" t="n">
        <x:v>-2</x:v>
      </x:c>
      <x:c r="I57" s="5" t="str">
        <x:v>道具语义冲突</x:v>
      </x:c>
      <x:c r="J57" s="5" t="str">
        <x:v>L3 choices.window 和 choices.television</x:v>
      </x:c>
      <x:c r="K57" s="5" t="str">
        <x:v>V6.2写风扇；代码是电视机；不能擅自将电视当风扇套F分值</x:v>
      </x:c>
      <x:c r="L57" s="5" t="str">
        <x:v>修订评分表!A54:H54</x:v>
      </x:c>
      <x:c r="M57" s="5" t="str"/>
    </x:row>
    <x:row r="58" ht="78" customHeight="1">
      <x:c r="A58" s="8" t="str">
        <x:v>V62-R55</x:v>
      </x:c>
      <x:c r="B58" s="8" t="str">
        <x:v>L3</x:v>
      </x:c>
      <x:c r="C58" s="8" t="str">
        <x:v>N18 出口门前带走一件东西（不带走 = NA；按行为归类，非物件直接对应分数）</x:v>
      </x:c>
      <x:c r="D58" s="8" t="str">
        <x:v>不带走任何东西</x:v>
      </x:c>
      <x:c r="E58" s="11" t="str">
        <x:v>NA</x:v>
      </x:c>
      <x:c r="F58" s="11" t="str">
        <x:v>NA</x:v>
      </x:c>
      <x:c r="G58" s="11" t="str">
        <x:v>NA</x:v>
      </x:c>
      <x:c r="H58" s="11" t="str">
        <x:v>NA</x:v>
      </x:c>
      <x:c r="I58" s="8" t="str">
        <x:v>明确NA</x:v>
      </x:c>
      <x:c r="J58" s="8" t="str">
        <x:v>L3 carry yes=false；completion=complete、item=null</x:v>
      </x:c>
      <x:c r="K58" s="8" t="str">
        <x:v>四维NA；不是缺分，也不是四个0</x:v>
      </x:c>
      <x:c r="L58" s="8" t="str">
        <x:v>修订评分表!A55:H55</x:v>
      </x:c>
      <x:c r="M58" s="8" t="str">
        <x:v>按行为含义归类计分，而非'物件直接对应分数'的固定向量；'不带走'=NA；取消'带走 = 四维 +2'的基础分；围巾/登山绳 A 方向矛盾已理顺；T/F 不载。</x:v>
      </x:c>
    </x:row>
    <x:row r="59" ht="78" customHeight="1">
      <x:c r="A59" s="5" t="str">
        <x:v>V62-R56</x:v>
      </x:c>
      <x:c r="B59" s="5" t="str">
        <x:v>L3</x:v>
      </x:c>
      <x:c r="C59" s="5" t="str">
        <x:v>N18 出口门前带走一件东西（不带走 = NA；按行为归类，非物件直接对应分数）</x:v>
      </x:c>
      <x:c r="D59" s="5" t="str">
        <x:v>围巾（陪伴/温度）</x:v>
      </x:c>
      <x:c r="E59" s="10" t="n">
        <x:v>-1</x:v>
      </x:c>
      <x:c r="F59" s="10" t="n">
        <x:v>-2</x:v>
      </x:c>
      <x:c r="G59" s="10" t="str">
        <x:v>NA</x:v>
      </x:c>
      <x:c r="H59" s="10" t="str">
        <x:v>NA</x:v>
      </x:c>
      <x:c r="I59" s="5" t="str">
        <x:v>可映射终态</x:v>
      </x:c>
      <x:c r="J59" s="5" t="str">
        <x:v>L3 confirm 接受且 outcome.item=scarf、completion=complete</x:v>
      </x:c>
      <x:c r="K59" s="5" t="str">
        <x:v>只有最终confirm计分；draft换物品不计；carry=yes不再加基础分</x:v>
      </x:c>
      <x:c r="L59" s="5" t="str">
        <x:v>修订评分表!A56:H56</x:v>
      </x:c>
      <x:c r="M59" s="5" t="str"/>
    </x:row>
    <x:row r="60" ht="78" customHeight="1">
      <x:c r="A60" s="8" t="str">
        <x:v>V62-R57</x:v>
      </x:c>
      <x:c r="B60" s="8" t="str">
        <x:v>L3</x:v>
      </x:c>
      <x:c r="C60" s="8" t="str">
        <x:v>N18 出口门前带走一件东西（不带走 = NA；按行为归类，非物件直接对应分数）</x:v>
      </x:c>
      <x:c r="D60" s="8" t="str">
        <x:v>小灯笼（寻找回应）</x:v>
      </x:c>
      <x:c r="E60" s="11" t="n">
        <x:v>2</x:v>
      </x:c>
      <x:c r="F60" s="11" t="str">
        <x:v>NA</x:v>
      </x:c>
      <x:c r="G60" s="11" t="str">
        <x:v>NA</x:v>
      </x:c>
      <x:c r="H60" s="11" t="str">
        <x:v>NA</x:v>
      </x:c>
      <x:c r="I60" s="8" t="str">
        <x:v>可映射终态</x:v>
      </x:c>
      <x:c r="J60" s="8" t="str">
        <x:v>L3 confirm 接受且 outcome.item=lantern、completion=complete</x:v>
      </x:c>
      <x:c r="K60" s="8" t="str">
        <x:v>只有最终confirm计分；draft换物品不计；carry=yes不再加基础分</x:v>
      </x:c>
      <x:c r="L60" s="8" t="str">
        <x:v>修订评分表!A57:H57</x:v>
      </x:c>
      <x:c r="M60" s="8" t="str"/>
    </x:row>
    <x:row r="61" ht="78" customHeight="1">
      <x:c r="A61" s="5" t="str">
        <x:v>V62-R58</x:v>
      </x:c>
      <x:c r="B61" s="5" t="str">
        <x:v>L3</x:v>
      </x:c>
      <x:c r="C61" s="5" t="str">
        <x:v>N18 出口门前带走一件东西（不带走 = NA；按行为归类，非物件直接对应分数）</x:v>
      </x:c>
      <x:c r="D61" s="5" t="str">
        <x:v>雨伞（自我保护/边界）</x:v>
      </x:c>
      <x:c r="E61" s="10" t="str">
        <x:v>NA</x:v>
      </x:c>
      <x:c r="F61" s="10" t="n">
        <x:v>2</x:v>
      </x:c>
      <x:c r="G61" s="10" t="str">
        <x:v>NA</x:v>
      </x:c>
      <x:c r="H61" s="10" t="str">
        <x:v>NA</x:v>
      </x:c>
      <x:c r="I61" s="5" t="str">
        <x:v>可映射终态</x:v>
      </x:c>
      <x:c r="J61" s="5" t="str">
        <x:v>L3 confirm 接受且 outcome.item=umbrella、completion=complete</x:v>
      </x:c>
      <x:c r="K61" s="5" t="str">
        <x:v>只有最终confirm计分；draft换物品不计；carry=yes不再加基础分</x:v>
      </x:c>
      <x:c r="L61" s="5" t="str">
        <x:v>修订评分表!A58:H58</x:v>
      </x:c>
      <x:c r="M61" s="5" t="str"/>
    </x:row>
    <x:row r="62" ht="78" customHeight="1">
      <x:c r="A62" s="8" t="str">
        <x:v>V62-R59</x:v>
      </x:c>
      <x:c r="B62" s="8" t="str">
        <x:v>L3</x:v>
      </x:c>
      <x:c r="C62" s="8" t="str">
        <x:v>N18 出口门前带走一件东西（不带走 = NA；按行为归类，非物件直接对应分数）</x:v>
      </x:c>
      <x:c r="D62" s="8" t="str">
        <x:v>指南针（自己判断方向）</x:v>
      </x:c>
      <x:c r="E62" s="11" t="n">
        <x:v>-2</x:v>
      </x:c>
      <x:c r="F62" s="11" t="str">
        <x:v>NA</x:v>
      </x:c>
      <x:c r="G62" s="11" t="str">
        <x:v>NA</x:v>
      </x:c>
      <x:c r="H62" s="11" t="str">
        <x:v>NA</x:v>
      </x:c>
      <x:c r="I62" s="8" t="str">
        <x:v>可映射终态</x:v>
      </x:c>
      <x:c r="J62" s="8" t="str">
        <x:v>L3 confirm 接受且 outcome.item=compass、completion=complete</x:v>
      </x:c>
      <x:c r="K62" s="8" t="str">
        <x:v>只有最终confirm计分；draft换物品不计；carry=yes不再加基础分</x:v>
      </x:c>
      <x:c r="L62" s="8" t="str">
        <x:v>修订评分表!A59:H59</x:v>
      </x:c>
      <x:c r="M62" s="8" t="str"/>
    </x:row>
    <x:row r="63" ht="78" customHeight="1">
      <x:c r="A63" s="5" t="str">
        <x:v>V62-R60</x:v>
      </x:c>
      <x:c r="B63" s="5" t="str">
        <x:v>L3</x:v>
      </x:c>
      <x:c r="C63" s="5" t="str">
        <x:v>N18 出口门前带走一件东西（不带走 = NA；按行为归类，非物件直接对应分数）</x:v>
      </x:c>
      <x:c r="D63" s="5" t="str">
        <x:v>小玩偶（依恋/熟悉）</x:v>
      </x:c>
      <x:c r="E63" s="10" t="n">
        <x:v>1</x:v>
      </x:c>
      <x:c r="F63" s="10" t="n">
        <x:v>-1</x:v>
      </x:c>
      <x:c r="G63" s="10" t="str">
        <x:v>NA</x:v>
      </x:c>
      <x:c r="H63" s="10" t="str">
        <x:v>NA</x:v>
      </x:c>
      <x:c r="I63" s="5" t="str">
        <x:v>可映射终态</x:v>
      </x:c>
      <x:c r="J63" s="5" t="str">
        <x:v>L3 confirm 接受且 outcome.item=doll、completion=complete</x:v>
      </x:c>
      <x:c r="K63" s="5" t="str">
        <x:v>只有最终confirm计分；draft换物品不计；carry=yes不再加基础分</x:v>
      </x:c>
      <x:c r="L63" s="5" t="str">
        <x:v>修订评分表!A60:H60</x:v>
      </x:c>
      <x:c r="M63" s="5" t="str"/>
    </x:row>
    <x:row r="64" ht="78" customHeight="1">
      <x:c r="A64" s="8" t="str">
        <x:v>V62-R61</x:v>
      </x:c>
      <x:c r="B64" s="8" t="str">
        <x:v>L3</x:v>
      </x:c>
      <x:c r="C64" s="8" t="str">
        <x:v>N18 出口门前带走一件东西（不带走 = NA；按行为归类，非物件直接对应分数）</x:v>
      </x:c>
      <x:c r="D64" s="8" t="str">
        <x:v>钥匙（保留选择/主动权）</x:v>
      </x:c>
      <x:c r="E64" s="11" t="str">
        <x:v>NA</x:v>
      </x:c>
      <x:c r="F64" s="11" t="n">
        <x:v>1</x:v>
      </x:c>
      <x:c r="G64" s="11" t="str">
        <x:v>NA</x:v>
      </x:c>
      <x:c r="H64" s="11" t="str">
        <x:v>NA</x:v>
      </x:c>
      <x:c r="I64" s="8" t="str">
        <x:v>可映射终态</x:v>
      </x:c>
      <x:c r="J64" s="8" t="str">
        <x:v>L3 confirm 接受且 outcome.item=key、completion=complete</x:v>
      </x:c>
      <x:c r="K64" s="8" t="str">
        <x:v>只有最终confirm计分；draft换物品不计；carry=yes不再加基础分</x:v>
      </x:c>
      <x:c r="L64" s="8" t="str">
        <x:v>修订评分表!A61:H61</x:v>
      </x:c>
      <x:c r="M64" s="8" t="str"/>
    </x:row>
    <x:row r="65" ht="78" customHeight="1">
      <x:c r="A65" s="5" t="str">
        <x:v>V62-R62</x:v>
      </x:c>
      <x:c r="B65" s="5" t="str">
        <x:v>L3</x:v>
      </x:c>
      <x:c r="C65" s="5" t="str">
        <x:v>N18 出口门前带走一件东西（不带走 = NA；按行为归类，非物件直接对应分数）</x:v>
      </x:c>
      <x:c r="D65" s="5" t="str">
        <x:v>日记本（内在世界/自我安定）</x:v>
      </x:c>
      <x:c r="E65" s="10" t="n">
        <x:v>-2</x:v>
      </x:c>
      <x:c r="F65" s="10" t="str">
        <x:v>NA</x:v>
      </x:c>
      <x:c r="G65" s="10" t="str">
        <x:v>NA</x:v>
      </x:c>
      <x:c r="H65" s="10" t="str">
        <x:v>NA</x:v>
      </x:c>
      <x:c r="I65" s="5" t="str">
        <x:v>可映射终态</x:v>
      </x:c>
      <x:c r="J65" s="5" t="str">
        <x:v>L3 confirm 接受且 outcome.item=journal、completion=complete</x:v>
      </x:c>
      <x:c r="K65" s="5" t="str">
        <x:v>只有最终confirm计分；draft换物品不计；carry=yes不再加基础分</x:v>
      </x:c>
      <x:c r="L65" s="5" t="str">
        <x:v>修订评分表!A62:H62</x:v>
      </x:c>
      <x:c r="M65" s="5" t="str"/>
    </x:row>
    <x:row r="66" ht="78" customHeight="1">
      <x:c r="A66" s="8" t="str">
        <x:v>V62-R63</x:v>
      </x:c>
      <x:c r="B66" s="8" t="str">
        <x:v>L3</x:v>
      </x:c>
      <x:c r="C66" s="8" t="str">
        <x:v>N18 出口门前带走一件东西（不带走 = NA；按行为归类，非物件直接对应分数）</x:v>
      </x:c>
      <x:c r="D66" s="8" t="str">
        <x:v>登山绳（抓住连接）</x:v>
      </x:c>
      <x:c r="E66" s="11" t="n">
        <x:v>2</x:v>
      </x:c>
      <x:c r="F66" s="11" t="str">
        <x:v>NA</x:v>
      </x:c>
      <x:c r="G66" s="11" t="str">
        <x:v>NA</x:v>
      </x:c>
      <x:c r="H66" s="11" t="str">
        <x:v>NA</x:v>
      </x:c>
      <x:c r="I66" s="8" t="str">
        <x:v>可映射终态</x:v>
      </x:c>
      <x:c r="J66" s="8" t="str">
        <x:v>L3 confirm 接受且 outcome.item=rope、completion=complete</x:v>
      </x:c>
      <x:c r="K66" s="8" t="str">
        <x:v>只有最终confirm计分；draft换物品不计；carry=yes不再加基础分</x:v>
      </x:c>
      <x:c r="L66" s="8" t="str">
        <x:v>修订评分表!A63:H63</x:v>
      </x:c>
      <x:c r="M66" s="8" t="str"/>
    </x:row>
    <x:row r="67" ht="78" customHeight="1">
      <x:c r="A67" s="5" t="str">
        <x:v>V62-R64</x:v>
      </x:c>
      <x:c r="B67" s="5" t="str">
        <x:v>L4</x:v>
      </x:c>
      <x:c r="C67" s="5" t="str">
        <x:v>N19 门的选择（对玩家展示的门名改中性、位置随机，避免语义暗示；只载 A/V）</x:v>
      </x:c>
      <x:c r="D67" s="5" t="str">
        <x:v>微光门（寻求连接与安全）</x:v>
      </x:c>
      <x:c r="E67" s="10" t="n">
        <x:v>-1</x:v>
      </x:c>
      <x:c r="F67" s="10" t="n">
        <x:v>-1</x:v>
      </x:c>
      <x:c r="G67" s="10" t="str">
        <x:v>NA</x:v>
      </x:c>
      <x:c r="H67" s="10" t="str">
        <x:v>NA</x:v>
      </x:c>
      <x:c r="I67" s="5" t="str">
        <x:v>可映射终态</x:v>
      </x:c>
      <x:c r="J67" s="5" t="str">
        <x:v>L4 confirm door=village；outcome.door</x:v>
      </x:c>
      <x:c r="K67" s="5" t="str">
        <x:v>分值可对应当前门名；门名中性化、位置随机尚未实现；预览不计分</x:v>
      </x:c>
      <x:c r="L67" s="5" t="str">
        <x:v>修订评分表!A64:H64</x:v>
      </x:c>
      <x:c r="M67" s="5" t="str">
        <x:v>四扇门恰对应 A/V 四象限（安全/焦虑/回避/恐惧），A/V 严格正交。L4 语义直白、易受社会赞许影响，诊断性下调，幅度 ±1；T/F 不载。对玩家展示的门名建议中性化、位置随机。</x:v>
      </x:c>
    </x:row>
    <x:row r="68" ht="78" customHeight="1">
      <x:c r="A68" s="8" t="str">
        <x:v>V62-R65</x:v>
      </x:c>
      <x:c r="B68" s="8" t="str">
        <x:v>L4</x:v>
      </x:c>
      <x:c r="C68" s="8" t="str">
        <x:v>N19 门的选择（对玩家展示的门名改中性、位置随机，避免语义暗示；只载 A/V）</x:v>
      </x:c>
      <x:c r="D68" s="8" t="str">
        <x:v>静塔门（保持距离、独立观察）</x:v>
      </x:c>
      <x:c r="E68" s="11" t="n">
        <x:v>1</x:v>
      </x:c>
      <x:c r="F68" s="11" t="n">
        <x:v>1</x:v>
      </x:c>
      <x:c r="G68" s="11" t="str">
        <x:v>NA</x:v>
      </x:c>
      <x:c r="H68" s="11" t="str">
        <x:v>NA</x:v>
      </x:c>
      <x:c r="I68" s="8" t="str">
        <x:v>可映射终态</x:v>
      </x:c>
      <x:c r="J68" s="8" t="str">
        <x:v>L4 confirm door=coast；outcome.door</x:v>
      </x:c>
      <x:c r="K68" s="8" t="str">
        <x:v>分值可对应当前门名；门名中性化、位置随机尚未实现；预览不计分</x:v>
      </x:c>
      <x:c r="L68" s="8" t="str">
        <x:v>修订评分表!A65:H65</x:v>
      </x:c>
      <x:c r="M68" s="8" t="str"/>
    </x:row>
    <x:row r="69" ht="78" customHeight="1">
      <x:c r="A69" s="5" t="str">
        <x:v>V62-R66</x:v>
      </x:c>
      <x:c r="B69" s="5" t="str">
        <x:v>L4</x:v>
      </x:c>
      <x:c r="C69" s="5" t="str">
        <x:v>N19 门的选择（对玩家展示的门名改中性、位置随机，避免语义暗示；只载 A/V）</x:v>
      </x:c>
      <x:c r="D69" s="5" t="str">
        <x:v>森林门（主动探索、自由寻求）</x:v>
      </x:c>
      <x:c r="E69" s="10" t="n">
        <x:v>-1</x:v>
      </x:c>
      <x:c r="F69" s="10" t="n">
        <x:v>1</x:v>
      </x:c>
      <x:c r="G69" s="10" t="str">
        <x:v>NA</x:v>
      </x:c>
      <x:c r="H69" s="10" t="str">
        <x:v>NA</x:v>
      </x:c>
      <x:c r="I69" s="5" t="str">
        <x:v>可映射终态</x:v>
      </x:c>
      <x:c r="J69" s="5" t="str">
        <x:v>L4 confirm door=forest；outcome.door</x:v>
      </x:c>
      <x:c r="K69" s="5" t="str">
        <x:v>分值可对应当前门名；门名中性化、位置随机尚未实现；预览不计分</x:v>
      </x:c>
      <x:c r="L69" s="5" t="str">
        <x:v>修订评分表!A66:H66</x:v>
      </x:c>
      <x:c r="M69" s="5" t="str"/>
    </x:row>
    <x:row r="70" ht="78" customHeight="1">
      <x:c r="A70" s="8" t="str">
        <x:v>V62-R67</x:v>
      </x:c>
      <x:c r="B70" s="8" t="str">
        <x:v>L4</x:v>
      </x:c>
      <x:c r="C70" s="8" t="str">
        <x:v>N19 门的选择（对玩家展示的门名改中性、位置随机，避免语义暗示；只载 A/V）</x:v>
      </x:c>
      <x:c r="D70" s="8" t="str">
        <x:v>宫殿门（稳定关系与确定性）</x:v>
      </x:c>
      <x:c r="E70" s="11" t="n">
        <x:v>1</x:v>
      </x:c>
      <x:c r="F70" s="11" t="n">
        <x:v>-1</x:v>
      </x:c>
      <x:c r="G70" s="11" t="str">
        <x:v>NA</x:v>
      </x:c>
      <x:c r="H70" s="11" t="str">
        <x:v>NA</x:v>
      </x:c>
      <x:c r="I70" s="8" t="str">
        <x:v>可映射终态</x:v>
      </x:c>
      <x:c r="J70" s="8" t="str">
        <x:v>L4 confirm door=castle；outcome.door</x:v>
      </x:c>
      <x:c r="K70" s="8" t="str">
        <x:v>分值可对应当前门名；门名中性化、位置随机尚未实现；预览不计分</x:v>
      </x:c>
      <x:c r="L70" s="8" t="str">
        <x:v>修订评分表!A67:H67</x:v>
      </x:c>
      <x:c r="M70" s="8" t="str"/>
    </x:row>
  </x:sheetData>
  <x:pageMargins left="0.7" right="0.7" top="0.75" bottom="0.75" header="0.3" footer="0.3"/>
  <x:tableParts count="1">
    <x:tablePart xmlns:r="http://schemas.openxmlformats.org/officeDocument/2006/relationships" r:id="Re61195921db345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64" hidden="0" customWidth="1"/>
    <x:col min="4" max="4" width="76" hidden="0" customWidth="1"/>
    <x:col min="5" max="5" width="22" hidden="0" customWidth="1"/>
  </x:cols>
  <x:sheetData>
    <x:row r="2">
      <x:c r="A2" s="1" t="str">
        <x:v>待补齐的评分证据</x:v>
      </x:c>
    </x:row>
    <x:row r="4">
      <x:c r="A4" s="2" t="str">
        <x:v>审计依据：本地工作树 + GitHub 21b0dc0 + 用户 V6.2 原表；未代替评分算法决策。</x:v>
      </x:c>
    </x:row>
    <x:row r="6" ht="34" customHeight="1">
      <x:c r="A6" s="7" t="str">
        <x:v>编号</x:v>
      </x:c>
      <x:c r="B6" s="7" t="str">
        <x:v>事项</x:v>
      </x:c>
      <x:c r="C6" s="7" t="str">
        <x:v>当前发现</x:v>
      </x:c>
      <x:c r="D6" s="7" t="str">
        <x:v>下一步</x:v>
      </x:c>
      <x:c r="E6" s="7" t="str">
        <x:v>状态</x:v>
      </x:c>
    </x:row>
    <x:row r="7" ht="78" customHeight="1">
      <x:c r="A7" s="5" t="str">
        <x:v>G01</x:v>
      </x:c>
      <x:c r="B7" s="5" t="str">
        <x:v>评分粒度</x:v>
      </x:c>
      <x:c r="C7" s="5" t="str">
        <x:v>V6.2按节点终态，不逐点击累加</x:v>
      </x:c>
      <x:c r="D7" s="5" t="str">
        <x:v>当前后端只存事实；后续每节点确定一个选项；机械点击不重复加分</x:v>
      </x:c>
      <x:c r="E7" s="5" t="str">
        <x:v>需用户算法</x:v>
      </x:c>
    </x:row>
    <x:row r="8" ht="78" customHeight="1">
      <x:c r="A8" s="8" t="str">
        <x:v>G02</x:v>
      </x:c>
      <x:c r="B8" s="8" t="str">
        <x:v>NA 与 0</x:v>
      </x:c>
      <x:c r="C8" s="8" t="str">
        <x:v>27个可映射终态选项 + 1个明确NA，其余36个需补证据/规则</x:v>
      </x:c>
      <x:c r="D8" s="8" t="str">
        <x:v>数字0有中性含义；NA不代表未配分；待定向量保持空白</x:v>
      </x:c>
      <x:c r="E8" s="8" t="str">
        <x:v>保留区别</x:v>
      </x:c>
    </x:row>
    <x:row r="9" ht="78" customHeight="1">
      <x:c r="A9" s="5" t="str">
        <x:v>G03</x:v>
      </x:c>
      <x:c r="B9" s="5" t="str">
        <x:v>线索取舍</x:v>
      </x:c>
      <x:c r="C9" s="5" t="str">
        <x:v>本地没有采用/不采用线索事件</x:v>
      </x:c>
      <x:c r="D9" s="5" t="str">
        <x:v>先定义线索内容，再增加明确动作记录</x:v>
      </x:c>
      <x:c r="E9" s="5" t="str">
        <x:v>缺事件</x:v>
      </x:c>
    </x:row>
    <x:row r="10" ht="78" customHeight="1">
      <x:c r="A10" s="8" t="str">
        <x:v>G04</x:v>
      </x:c>
      <x:c r="B10" s="8" t="str">
        <x:v>对岸人物</x:v>
      </x:c>
      <x:c r="C10" s="8" t="str">
        <x:v>两个打招呼布尔值，没有查看/交谈证据</x:v>
      </x:c>
      <x:c r="D10" s="8" t="str">
        <x:v>不能证明“完全不点选”，也无法分交谈与仅打招呼；需合并节点规则</x:v>
      </x:c>
      <x:c r="E10" s="8" t="str">
        <x:v>缺事件</x:v>
      </x:c>
    </x:row>
    <x:row r="11" ht="78" customHeight="1">
      <x:c r="A11" s="5" t="str">
        <x:v>G05</x:v>
      </x:c>
      <x:c r="B11" s="5" t="str">
        <x:v>座位、钥匙</x:v>
      </x:c>
      <x:c r="C11" s="5" t="str">
        <x:v>桌前椅≠已确认中心椅；没有反复比较判定</x:v>
      </x:c>
      <x:c r="D11" s="5" t="str">
        <x:v>明确座位映射、比较事件、失败后放弃终态与截止点</x:v>
      </x:c>
      <x:c r="E11" s="5" t="str">
        <x:v>待定义</x:v>
      </x:c>
    </x:row>
    <x:row r="12" ht="78" customHeight="1">
      <x:c r="A12" s="8" t="str">
        <x:v>G06</x:v>
      </x:c>
      <x:c r="B12" s="8" t="str">
        <x:v>L2 两个门节点</x:v>
      </x:c>
      <x:c r="C12" s="8" t="str">
        <x:v>同一个 explore 事件被表中黑屋/半开门两节点引用</x:v>
      </x:c>
      <x:c r="D12" s="8" t="str">
        <x:v>拆分证据或确认合并；不能重复计分</x:v>
      </x:c>
      <x:c r="E12" s="8" t="str">
        <x:v>节点重叠</x:v>
      </x:c>
    </x:row>
    <x:row r="13" ht="78" customHeight="1">
      <x:c r="A13" s="5" t="str">
        <x:v>G07</x:v>
      </x:c>
      <x:c r="B13" s="5" t="str">
        <x:v>耳环时间</x:v>
      </x:c>
      <x:c r="C13" s="5" t="str">
        <x:v>V6.2 &gt;=15秒；当前 long &gt;15秒；找到且不足15秒无选项</x:v>
      </x:c>
      <x:c r="D13" s="5" t="str">
        <x:v>不把time_verified=false当真人时长；补找到终态，确定边界与截止</x:v>
      </x:c>
      <x:c r="E13" s="5" t="str">
        <x:v>边界冲突</x:v>
      </x:c>
    </x:row>
    <x:row r="14" ht="78" customHeight="1">
      <x:c r="A14" s="8" t="str">
        <x:v>G08</x:v>
      </x:c>
      <x:c r="B14" s="8" t="str">
        <x:v>家具三个指标</x:v>
      </x:c>
      <x:c r="C14" s="8" t="str">
        <x:v>现有 tidy/openPlacement 是原型布尔分类</x:v>
      </x:c>
      <x:c r="D14" s="8" t="str">
        <x:v>补墙窗距离、朝向/间距整齐度、调整次数定义及试玩四分位</x:v>
      </x:c>
      <x:c r="E14" s="8" t="str">
        <x:v>缺指标/常模</x:v>
      </x:c>
    </x:row>
    <x:row r="15" ht="78" customHeight="1">
      <x:c r="A15" s="5" t="str">
        <x:v>G09</x:v>
      </x:c>
      <x:c r="B15" s="5" t="str">
        <x:v>风暴门组合</x:v>
      </x:c>
      <x:c r="C15" s="5" t="str">
        <x:v>本地允许 open=false,close=true</x:v>
      </x:c>
      <x:c r="D15" s="5" t="str">
        <x:v>V6.2只有3种终态，未覆盖此组合；不得默认套其中一项</x:v>
      </x:c>
      <x:c r="E15" s="5" t="str">
        <x:v>缺选项</x:v>
      </x:c>
    </x:row>
    <x:row r="16" ht="78" customHeight="1">
      <x:c r="A16" s="8" t="str">
        <x:v>G10</x:v>
      </x:c>
      <x:c r="B16" s="8" t="str">
        <x:v>风扇 / 电视</x:v>
      </x:c>
      <x:c r="C16" s="8" t="str">
        <x:v>V6.2 风扇；实现 television=关电视</x:v>
      </x:c>
      <x:c r="D16" s="8" t="str">
        <x:v>确认替换或给电视单独规则，暂不套用风扇分值</x:v>
      </x:c>
      <x:c r="E16" s="8" t="str">
        <x:v>语义冲突</x:v>
      </x:c>
    </x:row>
    <x:row r="17" ht="78" customHeight="1">
      <x:c r="A17" s="5" t="str">
        <x:v>G11</x:v>
      </x:c>
      <x:c r="B17" s="5" t="str">
        <x:v>背包</x:v>
      </x:c>
      <x:c r="C17" s="5" t="str">
        <x:v>后端有 backpack，V6.2 只有8件物品</x:v>
      </x:c>
      <x:c r="D17" s="5" t="str">
        <x:v>保留背包候选，分值留空；carry=yes的旧基础分已被V6.2取消</x:v>
      </x:c>
      <x:c r="E17" s="5" t="str">
        <x:v>缺分值</x:v>
      </x:c>
    </x:row>
    <x:row r="18" ht="78" customHeight="1">
      <x:c r="A18" s="8" t="str">
        <x:v>G12</x:v>
      </x:c>
      <x:c r="B18" s="8" t="str">
        <x:v>随机池 / 门</x:v>
      </x:c>
      <x:c r="C18" s="8" t="str">
        <x:v>L2未3选2；L4门名与位置固定</x:v>
      </x:c>
      <x:c r="D18" s="8" t="str">
        <x:v>只是附件建议，与当前开发不同；本轮不改变游戏流程</x:v>
      </x:c>
      <x:c r="E18" s="8" t="str">
        <x:v>未实现建议</x:v>
      </x:c>
    </x:row>
    <x:row r="19" ht="78" customHeight="1">
      <x:c r="A19" s="5" t="str">
        <x:v>G13</x:v>
      </x:c>
      <x:c r="B19" s="5" t="str">
        <x:v>附件不完整</x:v>
      </x:c>
      <x:c r="C19" s="5" t="str">
        <x:v>只有变更说明、修订评分表；变更说明C22含#REF!</x:v>
      </x:c>
      <x:c r="D19" s="5" t="str">
        <x:v>未提供参数、计算器、零和校验、旧分对照、模拟结果；κ/常模/算法等待用户</x:v>
      </x:c>
      <x:c r="E19" s="5" t="str">
        <x:v>来源缺页</x:v>
      </x:c>
    </x:row>
    <x:row r="20" ht="78" customHeight="1">
      <x:c r="A20" s="8" t="str">
        <x:v>G14</x:v>
      </x:c>
      <x:c r="B20" s="8" t="str">
        <x:v>记录证明边界</x:v>
      </x:c>
      <x:c r="C20" s="8" t="str">
        <x:v>DB存储的是客户端动作声明经服务器规则验证</x:v>
      </x:c>
      <x:c r="D20" s="8" t="str">
        <x:v>能证明接受/拒绝、顺序和持久化；不能证明真人动机或实际注视</x:v>
      </x:c>
      <x:c r="E20" s="8" t="str">
        <x:v>事实边界</x:v>
      </x:c>
    </x:row>
    <x:row r="21" ht="78" customHeight="1">
      <x:c r="A21" s="5" t="str">
        <x:v>G15</x:v>
      </x:c>
      <x:c r="B21" s="5" t="str">
        <x:v>L1历史回执</x:v>
      </x:c>
      <x:c r="C21" s="5" t="str">
        <x:v>无previous_version、validation_version、逐次outcome字段</x:v>
      </x:c>
      <x:c r="D21" s="5" t="str">
        <x:v>旧事件可按版本重放；后续正式计分宜统一不可变事实快照</x:v>
      </x:c>
      <x:c r="E21" s="5" t="str">
        <x:v>证据格式差异</x:v>
      </x:c>
    </x:row>
    <x:row r="22" ht="78" customHeight="1">
      <x:c r="A22" s="8" t="str">
        <x:v>G16</x:v>
      </x:c>
      <x:c r="B22" s="8" t="str">
        <x:v>GitHub / 本地</x:v>
      </x:c>
      <x:c r="C22" s="8" t="str">
        <x:v>origin/Eltondev=21b0dc0；L2/结果页还有本地未提交改动</x:v>
      </x:c>
      <x:c r="D22" s="8" t="str">
        <x:v>GitHub L2 tidy才开出口；本地任意layout-confirm开出口；George pull不含未提交文件</x:v>
      </x:c>
      <x:c r="E22" s="8" t="str">
        <x:v>交接差异</x:v>
      </x:c>
    </x:row>
    <x:row r="23" ht="78" customHeight="1">
      <x:c r="A23" s="5" t="str">
        <x:v>G17</x:v>
      </x:c>
      <x:c r="B23" s="5" t="str">
        <x:v>权重版本</x:v>
      </x:c>
      <x:c r="C23" s="5" t="str">
        <x:v>默认20% / 30% / 30% / 20%，独立于事件向量与算法版本</x:v>
      </x:c>
      <x:c r="D23" s="5" t="str">
        <x:v>配置加载与校验已实现；未接正式计分与历史结果快照；新版本新增记录，不改旧版</x:v>
      </x:c>
      <x:c r="E23" s="5" t="str">
        <x:v>实现边界</x:v>
      </x:c>
    </x:row>
  </x:sheetData>
  <x:pageMargins left="0.7" right="0.7" top="0.75" bottom="0.75" header="0.3" footer="0.3"/>
  <x:tableParts count="1">
    <x:tablePart xmlns:r="http://schemas.openxmlformats.org/officeDocument/2006/relationships" r:id="R1cf45e426cc343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2">
      <x:c r="A2" s="1" t="str">
        <x:v>关卡权重 · 可编辑版本</x:v>
      </x:c>
    </x:row>
    <x:row r="4" ht="26" customHeight="1">
      <x:c r="A4" s="3" t="str">
        <x:v>当前选择</x:v>
      </x:c>
      <x:c r="B4" s="14" t="str">
        <x:v>Scoring_weight_version_1</x:v>
      </x:c>
      <x:c r="C4" s="3"/>
      <x:c r="D4" s="3"/>
      <x:c r="E4" s="3"/>
      <x:c r="F4" s="3"/>
      <x:c r="G4" s="3"/>
    </x:row>
    <x:row r="5" ht="26" customHeight="1">
      <x:c r="A5" s="3"/>
      <x:c r="B5" s="3"/>
      <x:c r="C5" s="3"/>
      <x:c r="D5" s="3"/>
      <x:c r="E5" s="3"/>
      <x:c r="F5" s="3"/>
      <x:c r="G5" s="3"/>
    </x:row>
    <x:row r="6" ht="26" customHeight="1">
      <x:c r="A6" s="3"/>
      <x:c r="B6" s="3"/>
      <x:c r="C6" s="3"/>
      <x:c r="D6" s="3"/>
      <x:c r="E6" s="3"/>
      <x:c r="F6" s="3"/>
      <x:c r="G6" s="3"/>
    </x:row>
    <x:row r="7" ht="32" customHeight="1">
      <x:c r="A7" s="13" t="str">
        <x:v>版本</x:v>
      </x:c>
      <x:c r="B7" s="13" t="str">
        <x:v>L1</x:v>
      </x:c>
      <x:c r="C7" s="13" t="str">
        <x:v>L2</x:v>
      </x:c>
      <x:c r="D7" s="13" t="str">
        <x:v>L3</x:v>
      </x:c>
      <x:c r="E7" s="13" t="str">
        <x:v>L4</x:v>
      </x:c>
      <x:c r="F7" s="13" t="str">
        <x:v>合计</x:v>
      </x:c>
      <x:c r="G7" s="13" t="str">
        <x:v>校验</x:v>
      </x:c>
    </x:row>
    <x:row r="8" ht="26" customHeight="1">
      <x:c r="A8" s="3" t="str">
        <x:v>Scoring_weight_version_1</x:v>
      </x:c>
      <x:c r="B8" s="15" t="n">
        <x:v>0.2</x:v>
      </x:c>
      <x:c r="C8" s="15" t="n">
        <x:v>0.3</x:v>
      </x:c>
      <x:c r="D8" s="15" t="n">
        <x:v>0.3</x:v>
      </x:c>
      <x:c r="E8" s="15" t="n">
        <x:v>0.2</x:v>
      </x:c>
      <x:c r="F8" s="16" t="n">
        <x:f>IF(COUNT(B8:E8)=4,SUM(B8:E8),"待填写")</x:f>
        <x:v>1</x:v>
      </x:c>
      <x:c r="G8" s="3" t="str">
        <x:f>IF(COUNT(B8:E8)&lt;&gt;4,"待填写",IF(AND(COUNTIFS(B8:E8,"&lt;0")=0,COUNTIFS(B8:E8,"&gt;1")=0,ABS(SUM(B8:E8)-1)&lt;0.000000001),"有效","权重错误"))</x:f>
        <x:v>有效</x:v>
      </x:c>
    </x:row>
    <x:row r="9" ht="26" customHeight="1">
      <x:c r="A9" s="3" t="str">
        <x:v>Scoring_weight_version_2</x:v>
      </x:c>
      <x:c r="B9" s="15"/>
      <x:c r="C9" s="15"/>
      <x:c r="D9" s="15"/>
      <x:c r="E9" s="15"/>
      <x:c r="F9" s="16" t="str">
        <x:f>IF(COUNT(B9:E9)=4,SUM(B9:E9),"待填写")</x:f>
        <x:v>待填写</x:v>
      </x:c>
      <x:c r="G9" s="3" t="str">
        <x:f>IF(COUNT(B9:E9)&lt;&gt;4,"待填写",IF(AND(COUNTIFS(B9:E9,"&lt;0")=0,COUNTIFS(B9:E9,"&gt;1")=0,ABS(SUM(B9:E9)-1)&lt;0.000000001),"有效","权重错误"))</x:f>
        <x:v>待填写</x:v>
      </x:c>
    </x:row>
    <x:row r="10" ht="26" customHeight="1">
      <x:c r="A10" s="3"/>
      <x:c r="B10" s="3"/>
      <x:c r="C10" s="3"/>
      <x:c r="D10" s="3"/>
      <x:c r="E10" s="3"/>
      <x:c r="F10" s="3"/>
      <x:c r="G10" s="3"/>
    </x:row>
    <x:row r="11" ht="26" customHeight="1">
      <x:c r="A11" s="3"/>
      <x:c r="B11" s="3"/>
      <x:c r="C11" s="3"/>
      <x:c r="D11" s="3"/>
      <x:c r="E11" s="3"/>
      <x:c r="F11" s="3"/>
      <x:c r="G11" s="3"/>
    </x:row>
    <x:row r="12" ht="32" customHeight="1">
      <x:c r="A12" s="13" t="str">
        <x:v>已选版本</x:v>
      </x:c>
      <x:c r="B12" s="13" t="str">
        <x:v>L1</x:v>
      </x:c>
      <x:c r="C12" s="13" t="str">
        <x:v>L2</x:v>
      </x:c>
      <x:c r="D12" s="13" t="str">
        <x:v>L3</x:v>
      </x:c>
      <x:c r="E12" s="13" t="str">
        <x:v>L4</x:v>
      </x:c>
      <x:c r="F12" s="3"/>
      <x:c r="G12" s="3"/>
    </x:row>
    <x:row r="13" ht="26" customHeight="1">
      <x:c r="A13" s="3" t="str">
        <x:f>B4</x:f>
        <x:v>Scoring_weight_version_1</x:v>
      </x:c>
      <x:c r="B13" s="16" t="n">
        <x:f>IF(INDEX($G$8:$G$9,MATCH($B$4,$A$8:$A$9,0))="有效",INDEX(B$8:B$9,MATCH($B$4,$A$8:$A$9,0)),"NA")</x:f>
        <x:v>0.2</x:v>
      </x:c>
      <x:c r="C13" s="16" t="n">
        <x:f>IF(INDEX($G$8:$G$9,MATCH($B$4,$A$8:$A$9,0))="有效",INDEX(C$8:C$9,MATCH($B$4,$A$8:$A$9,0)),"NA")</x:f>
        <x:v>0.3</x:v>
      </x:c>
      <x:c r="D13" s="16" t="n">
        <x:f>IF(INDEX($G$8:$G$9,MATCH($B$4,$A$8:$A$9,0))="有效",INDEX(D$8:D$9,MATCH($B$4,$A$8:$A$9,0)),"NA")</x:f>
        <x:v>0.3</x:v>
      </x:c>
      <x:c r="E13" s="16" t="n">
        <x:f>IF(INDEX($G$8:$G$9,MATCH($B$4,$A$8:$A$9,0))="有效",INDEX(E$8:E$9,MATCH($B$4,$A$8:$A$9,0)),"NA")</x:f>
        <x:v>0.2</x:v>
      </x:c>
      <x:c r="F13" s="3"/>
      <x:c r="G13" s="3"/>
    </x:row>
    <x:row r="14" ht="26" customHeight="1">
      <x:c r="A14" s="3"/>
      <x:c r="B14" s="3"/>
      <x:c r="C14" s="3"/>
      <x:c r="D14" s="3"/>
      <x:c r="E14" s="3"/>
      <x:c r="F14" s="3"/>
      <x:c r="G14" s="3"/>
    </x:row>
    <x:row r="15" ht="26" customHeight="1">
      <x:c r="A15" s="3"/>
      <x:c r="B15" s="3"/>
      <x:c r="C15" s="3"/>
      <x:c r="D15" s="3"/>
      <x:c r="E15" s="3"/>
      <x:c r="F15" s="3"/>
      <x:c r="G15" s="3"/>
    </x:row>
    <x:row r="16" ht="26" customHeight="1">
      <x:c r="A16" s="3" t="str">
        <x:v>填写 v2 的四个百分比，再切换 B4；合计必须为 100%。零权重允许，空白不当作零。</x:v>
      </x:c>
      <x:c r="B16" s="3"/>
      <x:c r="C16" s="3"/>
      <x:c r="D16" s="3"/>
      <x:c r="E16" s="3"/>
      <x:c r="F16" s="3"/>
      <x:c r="G16" s="3"/>
    </x:row>
    <x:row r="17" ht="26" customHeight="1">
      <x:c r="A17" s="3"/>
      <x:c r="B17" s="3"/>
      <x:c r="C17" s="3"/>
      <x:c r="D17" s="3"/>
      <x:c r="E17" s="3"/>
      <x:c r="F17" s="3"/>
      <x:c r="G17" s="3"/>
    </x:row>
    <x:row r="18" ht="26" customHeight="1">
      <x:c r="A18" s="3" t="str">
        <x:v>本表用于核对；不会自动写入服务器配置。服务器文件：apps/api/app/config/scoring-weights.json</x:v>
      </x:c>
      <x:c r="B18" s="3"/>
      <x:c r="C18" s="3"/>
      <x:c r="D18" s="3"/>
      <x:c r="E18" s="3"/>
      <x:c r="F18" s="3"/>
      <x:c r="G18" s="3"/>
    </x:row>
    <x:row r="19" ht="26" customHeight="1">
      <x:c r="A19" s="3"/>
      <x:c r="B19" s="3"/>
      <x:c r="C19" s="3"/>
      <x:c r="D19" s="3"/>
      <x:c r="E19" s="3"/>
      <x:c r="F19" s="3"/>
      <x:c r="G19" s="3"/>
    </x:row>
    <x:row r="20" ht="26" customHeight="1">
      <x:c r="A20" s="3" t="str">
        <x:v>正式计分尚未启用；算法、事件分值、权重版本须分别保存。历史结果应冻结版本与实际权重。</x:v>
      </x:c>
      <x:c r="B20" s="3"/>
      <x:c r="C20" s="3"/>
      <x:c r="D20" s="3"/>
      <x:c r="E20" s="3"/>
      <x:c r="F20" s="3"/>
      <x:c r="G20" s="3"/>
    </x:row>
    <x:row r="21" ht="26" customHeight="1">
      <x:c r="A21" s="3"/>
      <x:c r="B21" s="3"/>
      <x:c r="C21" s="3"/>
      <x:c r="D21" s="3"/>
      <x:c r="E21" s="3"/>
      <x:c r="F21" s="3"/>
      <x:c r="G21" s="3"/>
    </x:row>
    <x:row r="22" ht="26" customHeight="1">
      <x:c r="A22" s="3" t="str">
        <x:v>V6.2的κ、常模、节点权重等未附完整参数，本表不计算人格得分。</x:v>
      </x:c>
      <x:c r="B22" s="3"/>
      <x:c r="C22" s="3"/>
      <x:c r="D22" s="3"/>
      <x:c r="E22" s="3"/>
      <x:c r="F22" s="3"/>
      <x:c r="G22" s="3"/>
    </x:row>
  </x:sheetData>
  <x:dataValidations count="1">
    <x:dataValidation type="list" sqref="B4">
      <x:formula1>"Scoring_weight_version_1,Scoring_weight_version_2"</x:formula1>
    </x:dataValidation>
  </x:dataValidations>
  <x:pageMargins left="0.7" right="0.7" top="0.75" bottom="0.75" header="0.3" footer="0.3"/>
</x:worksheet>
</file>